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dhruv\Desktop\DhruvData\"/>
    </mc:Choice>
  </mc:AlternateContent>
  <xr:revisionPtr revIDLastSave="0" documentId="13_ncr:1_{D97EDD77-43A8-42A4-8375-5C6E6D10EF8F}" xr6:coauthVersionLast="47" xr6:coauthVersionMax="47" xr10:uidLastSave="{00000000-0000-0000-0000-000000000000}"/>
  <bookViews>
    <workbookView xWindow="-108" yWindow="-108" windowWidth="23256" windowHeight="12456" activeTab="1" xr2:uid="{00000000-000D-0000-FFFF-FFFF00000000}"/>
  </bookViews>
  <sheets>
    <sheet name="Sheet1" sheetId="2" r:id="rId1"/>
    <sheet name="dashboard" sheetId="3" r:id="rId2"/>
    <sheet name="Sheet5" sheetId="6" r:id="rId3"/>
    <sheet name="Sheet2" sheetId="7" r:id="rId4"/>
    <sheet name="datasat" sheetId="1" r:id="rId5"/>
  </sheets>
  <definedNames>
    <definedName name="Slicer_Product_Category">#N/A</definedName>
    <definedName name="Slicer_Region">#N/A</definedName>
  </definedNames>
  <calcPr calcId="191029"/>
  <pivotCaches>
    <pivotCache cacheId="0" r:id="rId6"/>
    <pivotCache cacheId="2" r:id="rId7"/>
    <pivotCache cacheId="6"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6" i="3" l="1"/>
  <c r="A16" i="3"/>
  <c r="S3" i="1"/>
  <c r="R3" i="1"/>
  <c r="P3" i="1" a="1"/>
  <c r="P3" i="1" s="1"/>
  <c r="O3" i="1" l="1" a="1"/>
  <c r="O3" i="1" s="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3"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<sst xmlns="http://schemas.openxmlformats.org/spreadsheetml/2006/main" count="683" uniqueCount="88">
  <si>
    <t>Customer_ID</t>
  </si>
  <si>
    <t>Customer_Name</t>
  </si>
  <si>
    <t>Region</t>
  </si>
  <si>
    <t>Product_Category</t>
  </si>
  <si>
    <t>Sales</t>
  </si>
  <si>
    <t>Quantity</t>
  </si>
  <si>
    <t>Discount</t>
  </si>
  <si>
    <t>Order_Date</t>
  </si>
  <si>
    <t>Profit</t>
  </si>
  <si>
    <t>CUST001</t>
  </si>
  <si>
    <t>CUST002</t>
  </si>
  <si>
    <t>CUST003</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</si>
  <si>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</si>
  <si>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</si>
  <si>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</si>
  <si>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</si>
  <si>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</si>
  <si>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</si>
  <si>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</si>
  <si>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</si>
  <si>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</si>
  <si>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</si>
  <si>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</si>
  <si>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</si>
  <si>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</si>
  <si>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</si>
  <si>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</si>
  <si>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</si>
  <si>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</si>
  <si>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</si>
  <si>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</si>
  <si>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</si>
  <si>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</si>
  <si>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</si>
  <si>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</si>
  <si>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</si>
  <si>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</si>
  <si>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</si>
  <si>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</si>
  <si>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East</t>
  </si>
  <si>
    <t>South</t>
  </si>
  <si>
    <t>West</t>
  </si>
  <si>
    <t>North</t>
  </si>
  <si>
    <t>Clothing</t>
  </si>
  <si>
    <t>Electronics</t>
  </si>
  <si>
    <t>Books</t>
  </si>
  <si>
    <t>Furniture</t>
  </si>
  <si>
    <t>James Davis</t>
  </si>
  <si>
    <t>Robert Anderson</t>
  </si>
  <si>
    <t>James Taylor</t>
  </si>
  <si>
    <t>James Wilson</t>
  </si>
  <si>
    <t>Michael Anderson</t>
  </si>
  <si>
    <t>Linda Wilson</t>
  </si>
  <si>
    <t>Mary Davis</t>
  </si>
  <si>
    <t>Linda Jackson</t>
  </si>
  <si>
    <t>Central</t>
  </si>
  <si>
    <t>David Thomas</t>
  </si>
  <si>
    <t>Emma Davis</t>
  </si>
  <si>
    <t>Office Supplies</t>
  </si>
  <si>
    <t>David Smith</t>
  </si>
  <si>
    <t>Sarah Anderson</t>
  </si>
  <si>
    <t>Lisa Thomas</t>
  </si>
  <si>
    <t>Mary Jackson</t>
  </si>
  <si>
    <t>Lisa Davis</t>
  </si>
  <si>
    <t>Linda Brown</t>
  </si>
  <si>
    <t>John Brown</t>
  </si>
  <si>
    <t>Linda Taylor</t>
  </si>
  <si>
    <t>David Brown</t>
  </si>
  <si>
    <t>David Davis</t>
  </si>
  <si>
    <t>Mary Wilson</t>
  </si>
  <si>
    <t>Emma Wilson</t>
  </si>
  <si>
    <t>Linda Davis</t>
  </si>
  <si>
    <t>Sarah Davis</t>
  </si>
  <si>
    <t>Emma Taylor</t>
  </si>
  <si>
    <t>Linda Moore</t>
  </si>
  <si>
    <t>David Anderson</t>
  </si>
  <si>
    <t>Sum of Sales</t>
  </si>
  <si>
    <t>Row Labels</t>
  </si>
  <si>
    <t>Grand Total</t>
  </si>
  <si>
    <t>Column Labels</t>
  </si>
  <si>
    <t>vlokup</t>
  </si>
  <si>
    <t>index match</t>
  </si>
  <si>
    <t>ifs</t>
  </si>
  <si>
    <t>if quantity is above 10 top else low</t>
  </si>
  <si>
    <t xml:space="preserve">conditional formatting for top 20 profit </t>
  </si>
  <si>
    <t>total sales</t>
  </si>
  <si>
    <t>total profit</t>
  </si>
  <si>
    <t>Dashboard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</si>
</sst>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24"/>
      <color theme="0" tint="-4.9989318521683403E-2"/>
      <name val="Calibri"/>
      <family val="2"/>
      <scheme val="minor"/>
    </font>
    <font>
      <sz val="24"/>
      <color theme="1"/>
      <name val="Calibri"/>
      <family val="2"/>
      <scheme val="minor"/>
    </font>
    <font>
      <sz val="36"/>
      <color theme="0" tint="-4.9989318521683403E-2"/>
      <name val="Calibri"/>
      <family val="2"/>
      <scheme val="minor"/>
    </font>
  </fonts>
  <fills count="5">
    <fill>
      <patternFill patternType="none"/>
    </fill>
    <fill>
      <patternFill patternType="gray125"/>
    </fill>
    <fill>
      <patternFill patternType="solid">
        <fgColor theme="1"/>
        <bgColor indexed="64"/>
      </patternFill>
    </fill>
    <fill>
      <patternFill patternType="solid">
        <fgColor theme="3" tint="0.59999389629810485"/>
        <bgColor indexed="64"/>
      </patternFill>
    </fill>
    <fill>
      <patternFill patternType="solid">
        <fgColor theme="3"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0" fillId="0" borderId="2" xfId="0" applyBorder="1" applyAlignment="1">
      <alignment wrapText="1"/>
    </xf>
    <xf numFmtId="0" fontId="1" fillId="0" borderId="2" xfId="0" applyFont="1" applyBorder="1" applyAlignment="1">
      <alignment wrapText="1"/>
    </xf>
    <xf numFmtId="0" fontId="0" fillId="0" borderId="2" xfId="0" applyBorder="1" applyAlignment="1">
      <alignment horizontal="right" wrapText="1"/>
    </xf>
    <xf numFmtId="14" fontId="0" fillId="0" borderId="2" xfId="0" applyNumberFormat="1" applyBorder="1" applyAlignment="1">
      <alignment horizontal="right" wrapText="1"/>
    </xf>
    <xf numFmtId="0" fontId="0" fillId="0" borderId="0" xfId="0" pivotButton="1"/>
    <xf numFmtId="0" fontId="0" fillId="0" borderId="0" xfId="0" applyAlignment="1">
      <alignment horizontal="left"/>
    </xf>
    <xf numFmtId="0" fontId="0" fillId="2" borderId="0" xfId="0" applyFill="1"/>
    <xf numFmtId="0" fontId="0" fillId="3" borderId="0" xfId="0" applyFill="1"/>
    <xf numFmtId="0" fontId="0" fillId="0" borderId="0" xfId="0" applyNumberFormat="1"/>
    <xf numFmtId="0" fontId="2" fillId="2" borderId="0" xfId="0" applyFont="1" applyFill="1" applyAlignment="1">
      <alignment horizontal="center"/>
    </xf>
    <xf numFmtId="0" fontId="3" fillId="2" borderId="0" xfId="0" applyFont="1" applyFill="1" applyAlignment="1">
      <alignment horizontal="center"/>
    </xf>
    <xf numFmtId="0" fontId="0" fillId="3" borderId="0" xfId="0" applyFill="1" applyBorder="1"/>
    <xf numFmtId="0" fontId="4" fillId="4" borderId="0" xfId="0" applyFont="1" applyFill="1" applyAlignment="1">
      <alignment horizontal="center"/>
    </xf>
  </cellXfs>
  <cellStyles count="1">
    <cellStyle name="Normal" xfId="0" builtinId="0"/>
  </cellStyles>
  <dxfs count="1">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[final_project.xlsx]Sheet1!PivotTable15</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Books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Sheet1!$A$5:$A$10</c:f>
              <c:strCache>
                <c:ptCount val="5"/>
                <c:pt idx="0">
                  <c:v>Central</c:v>
                </c:pt>
                <c:pt idx="1">
                  <c:v>East</c:v>
                </c:pt>
                <c:pt idx="2">
                  <c:v>North</c:v>
                </c:pt>
                <c:pt idx="3">
                  <c:v>South</c:v>
                </c:pt>
                <c:pt idx="4">
                  <c:v>West</c:v>
                </c:pt>
              </c:strCache>
            </c:strRef>
          </c:cat>
          <c:val>
            <c:numRef>
              <c:f>Sheet1!$B$5:$B$10</c:f>
              <c:numCache>
                <c:formatCode>General</c:formatCode>
                <c:ptCount val="5"/>
                <c:pt idx="0">
                  <c:v>7883.3400000000011</c:v>
                </c:pt>
                <c:pt idx="1">
                  <c:v>2677.0699999999997</c:v>
                </c:pt>
                <c:pt idx="2">
                  <c:v>2775.5299999999997</c:v>
                </c:pt>
                <c:pt idx="3">
                  <c:v>6857.9500000000007</c:v>
                </c:pt>
                <c:pt idx="4">
                  <c:v>5337.38</c:v>
                </c:pt>
              </c:numCache>
            </c:numRef>
          </c:val>
          <c:extLst>
            <c:ext xmlns:c16="http://schemas.microsoft.com/office/drawing/2014/chart" uri="{C3380CC4-5D6E-409C-BE32-E72D297353CC}">
              <c16:uniqueId val="{00000000-3C29-443B-B16B-CB3580E5199E}"/>
            </c:ext>
          </c:extLst>
        </c:ser>
        <c:ser>
          <c:idx val="1"/>
          <c:order val="1"/>
          <c:tx>
            <c:strRef>
              <c:f>Sheet1!$C$3:$C$4</c:f>
              <c:strCache>
                <c:ptCount val="1"/>
                <c:pt idx="0">
                  <c:v>Clothing</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Sheet1!$A$5:$A$10</c:f>
              <c:strCache>
                <c:ptCount val="5"/>
                <c:pt idx="0">
                  <c:v>Central</c:v>
                </c:pt>
                <c:pt idx="1">
                  <c:v>East</c:v>
                </c:pt>
                <c:pt idx="2">
                  <c:v>North</c:v>
                </c:pt>
                <c:pt idx="3">
                  <c:v>South</c:v>
                </c:pt>
                <c:pt idx="4">
                  <c:v>West</c:v>
                </c:pt>
              </c:strCache>
            </c:strRef>
          </c:cat>
          <c:val>
            <c:numRef>
              <c:f>Sheet1!$C$5:$C$10</c:f>
              <c:numCache>
                <c:formatCode>General</c:formatCode>
                <c:ptCount val="5"/>
                <c:pt idx="0">
                  <c:v>1639.5</c:v>
                </c:pt>
                <c:pt idx="1">
                  <c:v>1291.47</c:v>
                </c:pt>
                <c:pt idx="2">
                  <c:v>1205.82</c:v>
                </c:pt>
                <c:pt idx="3">
                  <c:v>2179.92</c:v>
                </c:pt>
                <c:pt idx="4">
                  <c:v>3630.5299999999997</c:v>
                </c:pt>
              </c:numCache>
            </c:numRef>
          </c:val>
          <c:extLst>
            <c:ext xmlns:c16="http://schemas.microsoft.com/office/drawing/2014/chart" uri="{C3380CC4-5D6E-409C-BE32-E72D297353CC}">
              <c16:uniqueId val="{00000006-3C29-443B-B16B-CB3580E5199E}"/>
            </c:ext>
          </c:extLst>
        </c:ser>
        <c:ser>
          <c:idx val="2"/>
          <c:order val="2"/>
          <c:tx>
            <c:strRef>
              <c:f>Sheet1!$D$3:$D$4</c:f>
              <c:strCache>
                <c:ptCount val="1"/>
                <c:pt idx="0">
                  <c:v>Electronics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Sheet1!$A$5:$A$10</c:f>
              <c:strCache>
                <c:ptCount val="5"/>
                <c:pt idx="0">
                  <c:v>Central</c:v>
                </c:pt>
                <c:pt idx="1">
                  <c:v>East</c:v>
                </c:pt>
                <c:pt idx="2">
                  <c:v>North</c:v>
                </c:pt>
                <c:pt idx="3">
                  <c:v>South</c:v>
                </c:pt>
                <c:pt idx="4">
                  <c:v>West</c:v>
                </c:pt>
              </c:strCache>
            </c:strRef>
          </c:cat>
          <c:val>
            <c:numRef>
              <c:f>Sheet1!$D$5:$D$10</c:f>
              <c:numCache>
                <c:formatCode>General</c:formatCode>
                <c:ptCount val="5"/>
                <c:pt idx="0">
                  <c:v>3606.83</c:v>
                </c:pt>
                <c:pt idx="1">
                  <c:v>539.77</c:v>
                </c:pt>
                <c:pt idx="2">
                  <c:v>4419.9399999999996</c:v>
                </c:pt>
                <c:pt idx="3">
                  <c:v>9438.9700000000012</c:v>
                </c:pt>
                <c:pt idx="4">
                  <c:v>6223.8600000000006</c:v>
                </c:pt>
              </c:numCache>
            </c:numRef>
          </c:val>
          <c:extLst>
            <c:ext xmlns:c16="http://schemas.microsoft.com/office/drawing/2014/chart" uri="{C3380CC4-5D6E-409C-BE32-E72D297353CC}">
              <c16:uniqueId val="{00000007-3C29-443B-B16B-CB3580E5199E}"/>
            </c:ext>
          </c:extLst>
        </c:ser>
        <c:ser>
          <c:idx val="3"/>
          <c:order val="3"/>
          <c:tx>
            <c:strRef>
              <c:f>Sheet1!$E$3:$E$4</c:f>
              <c:strCache>
                <c:ptCount val="1"/>
                <c:pt idx="0">
                  <c:v>Furniture</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Sheet1!$A$5:$A$10</c:f>
              <c:strCache>
                <c:ptCount val="5"/>
                <c:pt idx="0">
                  <c:v>Central</c:v>
                </c:pt>
                <c:pt idx="1">
                  <c:v>East</c:v>
                </c:pt>
                <c:pt idx="2">
                  <c:v>North</c:v>
                </c:pt>
                <c:pt idx="3">
                  <c:v>South</c:v>
                </c:pt>
                <c:pt idx="4">
                  <c:v>West</c:v>
                </c:pt>
              </c:strCache>
            </c:strRef>
          </c:cat>
          <c:val>
            <c:numRef>
              <c:f>Sheet1!$E$5:$E$10</c:f>
              <c:numCache>
                <c:formatCode>General</c:formatCode>
                <c:ptCount val="5"/>
                <c:pt idx="0">
                  <c:v>3444.49</c:v>
                </c:pt>
                <c:pt idx="1">
                  <c:v>5212.4199999999992</c:v>
                </c:pt>
                <c:pt idx="2">
                  <c:v>4942.87</c:v>
                </c:pt>
                <c:pt idx="3">
                  <c:v>2733.7</c:v>
                </c:pt>
                <c:pt idx="4">
                  <c:v>5321.8600000000006</c:v>
                </c:pt>
              </c:numCache>
            </c:numRef>
          </c:val>
          <c:extLst>
            <c:ext xmlns:c16="http://schemas.microsoft.com/office/drawing/2014/chart" uri="{C3380CC4-5D6E-409C-BE32-E72D297353CC}">
              <c16:uniqueId val="{00000008-3C29-443B-B16B-CB3580E5199E}"/>
            </c:ext>
          </c:extLst>
        </c:ser>
        <c:ser>
          <c:idx val="4"/>
          <c:order val="4"/>
          <c:tx>
            <c:strRef>
              <c:f>Sheet1!$F$3:$F$4</c:f>
              <c:strCache>
                <c:ptCount val="1"/>
                <c:pt idx="0">
                  <c:v>Office Supplies</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Sheet1!$A$5:$A$10</c:f>
              <c:strCache>
                <c:ptCount val="5"/>
                <c:pt idx="0">
                  <c:v>Central</c:v>
                </c:pt>
                <c:pt idx="1">
                  <c:v>East</c:v>
                </c:pt>
                <c:pt idx="2">
                  <c:v>North</c:v>
                </c:pt>
                <c:pt idx="3">
                  <c:v>South</c:v>
                </c:pt>
                <c:pt idx="4">
                  <c:v>West</c:v>
                </c:pt>
              </c:strCache>
            </c:strRef>
          </c:cat>
          <c:val>
            <c:numRef>
              <c:f>Sheet1!$F$5:$F$10</c:f>
              <c:numCache>
                <c:formatCode>General</c:formatCode>
                <c:ptCount val="5"/>
                <c:pt idx="0">
                  <c:v>4470.51</c:v>
                </c:pt>
                <c:pt idx="1">
                  <c:v>4410.42</c:v>
                </c:pt>
                <c:pt idx="2">
                  <c:v>2202.4700000000003</c:v>
                </c:pt>
                <c:pt idx="3">
                  <c:v>981.2</c:v>
                </c:pt>
                <c:pt idx="4">
                  <c:v>4955.07</c:v>
                </c:pt>
              </c:numCache>
            </c:numRef>
          </c:val>
          <c:extLst>
            <c:ext xmlns:c16="http://schemas.microsoft.com/office/drawing/2014/chart" uri="{C3380CC4-5D6E-409C-BE32-E72D297353CC}">
              <c16:uniqueId val="{00000009-3C29-443B-B16B-CB3580E5199E}"/>
            </c:ext>
          </c:extLst>
        </c:ser>
        <c:dLbls>
          <c:showLegendKey val="0"/>
          <c:showVal val="0"/>
          <c:showCatName val="0"/>
          <c:showSerName val="0"/>
          <c:showPercent val="0"/>
          <c:showBubbleSize val="0"/>
        </c:dLbls>
        <c:gapWidth val="315"/>
        <c:overlap val="-40"/>
        <c:axId val="1305845967"/>
        <c:axId val="1305846447"/>
      </c:barChart>
      <c:catAx>
        <c:axId val="130584596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5846447"/>
        <c:crosses val="autoZero"/>
        <c:auto val="1"/>
        <c:lblAlgn val="ctr"/>
        <c:lblOffset val="100"/>
        <c:noMultiLvlLbl val="0"/>
      </c:catAx>
      <c:valAx>
        <c:axId val="13058464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0584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[final_project.xlsx]Sheet1!PivotTable15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a:t>
            </a:r>
            <a:r>
              <a:rPr lang="en-IN" baseline="0"/>
              <a:t> and product wise total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Books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Sheet1!$A$5:$A$10</c:f>
              <c:strCache>
                <c:ptCount val="5"/>
                <c:pt idx="0">
                  <c:v>Central</c:v>
                </c:pt>
                <c:pt idx="1">
                  <c:v>East</c:v>
                </c:pt>
                <c:pt idx="2">
                  <c:v>North</c:v>
                </c:pt>
                <c:pt idx="3">
                  <c:v>South</c:v>
                </c:pt>
                <c:pt idx="4">
                  <c:v>West</c:v>
                </c:pt>
              </c:strCache>
            </c:strRef>
          </c:cat>
          <c:val>
            <c:numRef>
              <c:f>Sheet1!$B$5:$B$10</c:f>
              <c:numCache>
                <c:formatCode>General</c:formatCode>
                <c:ptCount val="5"/>
                <c:pt idx="0">
                  <c:v>7883.3400000000011</c:v>
                </c:pt>
                <c:pt idx="1">
                  <c:v>2677.0699999999997</c:v>
                </c:pt>
                <c:pt idx="2">
                  <c:v>2775.5299999999997</c:v>
                </c:pt>
                <c:pt idx="3">
                  <c:v>6857.9500000000007</c:v>
                </c:pt>
                <c:pt idx="4">
                  <c:v>5337.38</c:v>
                </c:pt>
              </c:numCache>
            </c:numRef>
          </c:val>
          <c:extLst>
            <c:ext xmlns:c16="http://schemas.microsoft.com/office/drawing/2014/chart" uri="{C3380CC4-5D6E-409C-BE32-E72D297353CC}">
              <c16:uniqueId val="{00000000-EABA-4F87-A6B5-4E7700D0A9CE}"/>
            </c:ext>
          </c:extLst>
        </c:ser>
        <c:ser>
          <c:idx val="1"/>
          <c:order val="1"/>
          <c:tx>
            <c:strRef>
              <c:f>Sheet1!$C$3:$C$4</c:f>
              <c:strCache>
                <c:ptCount val="1"/>
                <c:pt idx="0">
                  <c:v>Clothing</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Sheet1!$A$5:$A$10</c:f>
              <c:strCache>
                <c:ptCount val="5"/>
                <c:pt idx="0">
                  <c:v>Central</c:v>
                </c:pt>
                <c:pt idx="1">
                  <c:v>East</c:v>
                </c:pt>
                <c:pt idx="2">
                  <c:v>North</c:v>
                </c:pt>
                <c:pt idx="3">
                  <c:v>South</c:v>
                </c:pt>
                <c:pt idx="4">
                  <c:v>West</c:v>
                </c:pt>
              </c:strCache>
            </c:strRef>
          </c:cat>
          <c:val>
            <c:numRef>
              <c:f>Sheet1!$C$5:$C$10</c:f>
              <c:numCache>
                <c:formatCode>General</c:formatCode>
                <c:ptCount val="5"/>
                <c:pt idx="0">
                  <c:v>1639.5</c:v>
                </c:pt>
                <c:pt idx="1">
                  <c:v>1291.47</c:v>
                </c:pt>
                <c:pt idx="2">
                  <c:v>1205.82</c:v>
                </c:pt>
                <c:pt idx="3">
                  <c:v>2179.92</c:v>
                </c:pt>
                <c:pt idx="4">
                  <c:v>3630.5299999999997</c:v>
                </c:pt>
              </c:numCache>
            </c:numRef>
          </c:val>
          <c:extLst>
            <c:ext xmlns:c16="http://schemas.microsoft.com/office/drawing/2014/chart" uri="{C3380CC4-5D6E-409C-BE32-E72D297353CC}">
              <c16:uniqueId val="{00000006-EABA-4F87-A6B5-4E7700D0A9CE}"/>
            </c:ext>
          </c:extLst>
        </c:ser>
        <c:ser>
          <c:idx val="2"/>
          <c:order val="2"/>
          <c:tx>
            <c:strRef>
              <c:f>Sheet1!$D$3:$D$4</c:f>
              <c:strCache>
                <c:ptCount val="1"/>
                <c:pt idx="0">
                  <c:v>Electronics</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Sheet1!$A$5:$A$10</c:f>
              <c:strCache>
                <c:ptCount val="5"/>
                <c:pt idx="0">
                  <c:v>Central</c:v>
                </c:pt>
                <c:pt idx="1">
                  <c:v>East</c:v>
                </c:pt>
                <c:pt idx="2">
                  <c:v>North</c:v>
                </c:pt>
                <c:pt idx="3">
                  <c:v>South</c:v>
                </c:pt>
                <c:pt idx="4">
                  <c:v>West</c:v>
                </c:pt>
              </c:strCache>
            </c:strRef>
          </c:cat>
          <c:val>
            <c:numRef>
              <c:f>Sheet1!$D$5:$D$10</c:f>
              <c:numCache>
                <c:formatCode>General</c:formatCode>
                <c:ptCount val="5"/>
                <c:pt idx="0">
                  <c:v>3606.83</c:v>
                </c:pt>
                <c:pt idx="1">
                  <c:v>539.77</c:v>
                </c:pt>
                <c:pt idx="2">
                  <c:v>4419.9399999999996</c:v>
                </c:pt>
                <c:pt idx="3">
                  <c:v>9438.9700000000012</c:v>
                </c:pt>
                <c:pt idx="4">
                  <c:v>6223.8600000000006</c:v>
                </c:pt>
              </c:numCache>
            </c:numRef>
          </c:val>
          <c:extLst>
            <c:ext xmlns:c16="http://schemas.microsoft.com/office/drawing/2014/chart" uri="{C3380CC4-5D6E-409C-BE32-E72D297353CC}">
              <c16:uniqueId val="{00000007-EABA-4F87-A6B5-4E7700D0A9CE}"/>
            </c:ext>
          </c:extLst>
        </c:ser>
        <c:ser>
          <c:idx val="3"/>
          <c:order val="3"/>
          <c:tx>
            <c:strRef>
              <c:f>Sheet1!$E$3:$E$4</c:f>
              <c:strCache>
                <c:ptCount val="1"/>
                <c:pt idx="0">
                  <c:v>Furniture</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Sheet1!$A$5:$A$10</c:f>
              <c:strCache>
                <c:ptCount val="5"/>
                <c:pt idx="0">
                  <c:v>Central</c:v>
                </c:pt>
                <c:pt idx="1">
                  <c:v>East</c:v>
                </c:pt>
                <c:pt idx="2">
                  <c:v>North</c:v>
                </c:pt>
                <c:pt idx="3">
                  <c:v>South</c:v>
                </c:pt>
                <c:pt idx="4">
                  <c:v>West</c:v>
                </c:pt>
              </c:strCache>
            </c:strRef>
          </c:cat>
          <c:val>
            <c:numRef>
              <c:f>Sheet1!$E$5:$E$10</c:f>
              <c:numCache>
                <c:formatCode>General</c:formatCode>
                <c:ptCount val="5"/>
                <c:pt idx="0">
                  <c:v>3444.49</c:v>
                </c:pt>
                <c:pt idx="1">
                  <c:v>5212.4199999999992</c:v>
                </c:pt>
                <c:pt idx="2">
                  <c:v>4942.87</c:v>
                </c:pt>
                <c:pt idx="3">
                  <c:v>2733.7</c:v>
                </c:pt>
                <c:pt idx="4">
                  <c:v>5321.8600000000006</c:v>
                </c:pt>
              </c:numCache>
            </c:numRef>
          </c:val>
          <c:extLst>
            <c:ext xmlns:c16="http://schemas.microsoft.com/office/drawing/2014/chart" uri="{C3380CC4-5D6E-409C-BE32-E72D297353CC}">
              <c16:uniqueId val="{00000008-EABA-4F87-A6B5-4E7700D0A9CE}"/>
            </c:ext>
          </c:extLst>
        </c:ser>
        <c:ser>
          <c:idx val="4"/>
          <c:order val="4"/>
          <c:tx>
            <c:strRef>
              <c:f>Sheet1!$F$3:$F$4</c:f>
              <c:strCache>
                <c:ptCount val="1"/>
                <c:pt idx="0">
                  <c:v>Office Supplies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Sheet1!$A$5:$A$10</c:f>
              <c:strCache>
                <c:ptCount val="5"/>
                <c:pt idx="0">
                  <c:v>Central</c:v>
                </c:pt>
                <c:pt idx="1">
                  <c:v>East</c:v>
                </c:pt>
                <c:pt idx="2">
                  <c:v>North</c:v>
                </c:pt>
                <c:pt idx="3">
                  <c:v>South</c:v>
                </c:pt>
                <c:pt idx="4">
                  <c:v>West</c:v>
                </c:pt>
              </c:strCache>
            </c:strRef>
          </c:cat>
          <c:val>
            <c:numRef>
              <c:f>Sheet1!$F$5:$F$10</c:f>
              <c:numCache>
                <c:formatCode>General</c:formatCode>
                <c:ptCount val="5"/>
                <c:pt idx="0">
                  <c:v>4470.51</c:v>
                </c:pt>
                <c:pt idx="1">
                  <c:v>4410.42</c:v>
                </c:pt>
                <c:pt idx="2">
                  <c:v>2202.4700000000003</c:v>
                </c:pt>
                <c:pt idx="3">
                  <c:v>981.2</c:v>
                </c:pt>
                <c:pt idx="4">
                  <c:v>4955.07</c:v>
                </c:pt>
              </c:numCache>
            </c:numRef>
          </c:val>
          <c:extLst>
            <c:ext xmlns:c16="http://schemas.microsoft.com/office/drawing/2014/chart" uri="{C3380CC4-5D6E-409C-BE32-E72D297353CC}">
              <c16:uniqueId val="{00000009-EABA-4F87-A6B5-4E7700D0A9CE}"/>
            </c:ext>
          </c:extLst>
        </c:ser>
        <c:dLbls>
          <c:showLegendKey val="0"/>
          <c:showVal val="0"/>
          <c:showCatName val="0"/>
          <c:showSerName val="0"/>
          <c:showPercent val="0"/>
          <c:showBubbleSize val="0"/>
        </c:dLbls>
        <c:gapWidth val="100"/>
        <c:overlap val="-24"/>
        <c:axId val="1305845967"/>
        <c:axId val="1305846447"/>
      </c:barChart>
      <c:catAx>
        <c:axId val="13058459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5846447"/>
        <c:crosses val="autoZero"/>
        <c:auto val="1"/>
        <c:lblAlgn val="ctr"/>
        <c:lblOffset val="100"/>
        <c:noMultiLvlLbl val="0"/>
      </c:catAx>
      <c:valAx>
        <c:axId val="13058464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584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[final_project.xlsx]Sheet5!PivotTable28</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customerID</a:t>
            </a:r>
            <a:r>
              <a:rPr lang="en-IN" baseline="0"/>
              <a:t> and product wise total sales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3000"/>
                    <a:shade val="51000"/>
                    <a:satMod val="130000"/>
                  </a:schemeClr>
                </a:gs>
                <a:gs pos="80000">
                  <a:schemeClr val="accent5">
                    <a:shade val="53000"/>
                    <a:shade val="93000"/>
                    <a:satMod val="130000"/>
                  </a:schemeClr>
                </a:gs>
                <a:gs pos="100000">
                  <a:schemeClr val="accent5">
                    <a:shade val="53000"/>
                    <a:shade val="94000"/>
                    <a:satMod val="135000"/>
                  </a:schemeClr>
                </a:gs>
              </a:gsLst>
              <a:lin ang="16200000" scaled="0"/>
            </a:gradFill>
            <a:ln w="9525">
              <a:solidFill>
                <a:schemeClr val="accent5">
                  <a:shade val="53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w="9525">
              <a:solidFill>
                <a:schemeClr val="accent5">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w="9525">
              <a:solidFill>
                <a:schemeClr val="accent5">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16200000" scaled="0"/>
            </a:gradFill>
            <a:ln w="9525">
              <a:solidFill>
                <a:schemeClr val="accent5">
                  <a:tint val="54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Books</c:v>
                </c:pt>
              </c:strCache>
            </c:strRef>
          </c:tx>
          <c:spPr>
            <a:gradFill rotWithShape="1">
              <a:gsLst>
                <a:gs pos="0">
                  <a:schemeClr val="accent5">
                    <a:shade val="53000"/>
                    <a:shade val="51000"/>
                    <a:satMod val="130000"/>
                  </a:schemeClr>
                </a:gs>
                <a:gs pos="80000">
                  <a:schemeClr val="accent5">
                    <a:shade val="53000"/>
                    <a:shade val="93000"/>
                    <a:satMod val="130000"/>
                  </a:schemeClr>
                </a:gs>
                <a:gs pos="100000">
                  <a:schemeClr val="accent5">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Sheet5!$A$5:$A$35</c:f>
              <c:strCache>
                <c:ptCount val="30"/>
                <c:pt idx="0">
                  <c:v>CUST001</c:v>
                </c:pt>
                <c:pt idx="1">
                  <c:v>CUST002</c:v>
                </c:pt>
                <c:pt idx="2">
                  <c:v>CUST003</c:v>
                </c:pt>
                <c:pt idx="3">
                  <c:v>CUST004</c:v>
                </c:pt>
                <c:pt idx="4">
                  <c:v>CUST005</c:v>
                </c:pt>
                <c:pt idx="5">
                  <c:v>CUST006</c:v>
                </c:pt>
                <c:pt idx="6">
                  <c:v>CUST007</c:v>
                </c:pt>
                <c:pt idx="7">
                  <c:v>CUST008</c:v>
                </c:pt>
                <c:pt idx="8">
                  <c:v>CUST009</c:v>
                </c:pt>
                <c:pt idx="9">
                  <c:v>CUST010</c:v>
                </c:pt>
                <c:pt idx="10">
                  <c:v>CUST011</c:v>
                </c:pt>
                <c:pt idx="11">
                  <c:v>CUST012</c:v>
                </c:pt>
                <c:pt idx="12">
                  <c:v>CUST013</c:v>
                </c:pt>
                <c:pt idx="13">
                  <c:v>CUST014</c:v>
                </c:pt>
                <c:pt idx="14">
                  <c:v>CUST015</c:v>
                </c:pt>
                <c:pt idx="15">
                  <c:v>CUST016</c:v>
                </c:pt>
                <c:pt idx="16">
                  <c:v>CUST017</c:v>
                </c:pt>
                <c:pt idx="17">
                  <c:v>CUST018</c:v>
                </c:pt>
                <c:pt idx="18">
                  <c:v>CUST019</c:v>
                </c:pt>
                <c:pt idx="19">
                  <c:v>CUST020</c:v>
                </c:pt>
                <c:pt idx="20">
                  <c:v>CUST021</c:v>
                </c:pt>
                <c:pt idx="21">
                  <c:v>CUST022</c:v>
                </c:pt>
                <c:pt idx="22">
                  <c:v>CUST023</c:v>
                </c:pt>
                <c:pt idx="23">
                  <c:v>CUST024</c:v>
                </c:pt>
                <c:pt idx="24">
                  <c:v>CUST025</c:v>
                </c:pt>
                <c:pt idx="25">
                  <c:v>CUST026</c:v>
                </c:pt>
                <c:pt idx="26">
                  <c:v>CUST027</c:v>
                </c:pt>
                <c:pt idx="27">
                  <c:v>CUST028</c:v>
                </c:pt>
                <c:pt idx="28">
                  <c:v>CUST029</c:v>
                </c:pt>
                <c:pt idx="29">
                  <c:v>CUST030</c:v>
                </c:pt>
              </c:strCache>
            </c:strRef>
          </c:cat>
          <c:val>
            <c:numRef>
              <c:f>Sheet5!$B$5:$B$35</c:f>
              <c:numCache>
                <c:formatCode>General</c:formatCode>
                <c:ptCount val="30"/>
                <c:pt idx="0">
                  <c:v>636.70000000000005</c:v>
                </c:pt>
                <c:pt idx="1">
                  <c:v>1819.3400000000001</c:v>
                </c:pt>
                <c:pt idx="2">
                  <c:v>1248.82</c:v>
                </c:pt>
                <c:pt idx="4">
                  <c:v>2221.8900000000003</c:v>
                </c:pt>
                <c:pt idx="5">
                  <c:v>1506.14</c:v>
                </c:pt>
                <c:pt idx="6">
                  <c:v>2810.38</c:v>
                </c:pt>
                <c:pt idx="7">
                  <c:v>877.58</c:v>
                </c:pt>
                <c:pt idx="8">
                  <c:v>501.54</c:v>
                </c:pt>
                <c:pt idx="11">
                  <c:v>1276.83</c:v>
                </c:pt>
                <c:pt idx="13">
                  <c:v>1343.13</c:v>
                </c:pt>
                <c:pt idx="15">
                  <c:v>580.42999999999995</c:v>
                </c:pt>
                <c:pt idx="16">
                  <c:v>713.34</c:v>
                </c:pt>
                <c:pt idx="17">
                  <c:v>966.3</c:v>
                </c:pt>
                <c:pt idx="18">
                  <c:v>1779.2599999999998</c:v>
                </c:pt>
                <c:pt idx="19">
                  <c:v>917.48</c:v>
                </c:pt>
                <c:pt idx="20">
                  <c:v>2224.15</c:v>
                </c:pt>
                <c:pt idx="21">
                  <c:v>2287.6999999999998</c:v>
                </c:pt>
                <c:pt idx="29">
                  <c:v>1820.26</c:v>
                </c:pt>
              </c:numCache>
            </c:numRef>
          </c:val>
          <c:extLst>
            <c:ext xmlns:c16="http://schemas.microsoft.com/office/drawing/2014/chart" uri="{C3380CC4-5D6E-409C-BE32-E72D297353CC}">
              <c16:uniqueId val="{00000000-E6E7-436B-B767-246BF34663C9}"/>
            </c:ext>
          </c:extLst>
        </c:ser>
        <c:ser>
          <c:idx val="1"/>
          <c:order val="1"/>
          <c:tx>
            <c:strRef>
              <c:f>Sheet5!$C$3:$C$4</c:f>
              <c:strCache>
                <c:ptCount val="1"/>
                <c:pt idx="0">
                  <c:v>Clothing</c:v>
                </c:pt>
              </c:strCache>
            </c:strRef>
          </c:tx>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Sheet5!$A$5:$A$35</c:f>
              <c:strCache>
                <c:ptCount val="30"/>
                <c:pt idx="0">
                  <c:v>CUST001</c:v>
                </c:pt>
                <c:pt idx="1">
                  <c:v>CUST002</c:v>
                </c:pt>
                <c:pt idx="2">
                  <c:v>CUST003</c:v>
                </c:pt>
                <c:pt idx="3">
                  <c:v>CUST004</c:v>
                </c:pt>
                <c:pt idx="4">
                  <c:v>CUST005</c:v>
                </c:pt>
                <c:pt idx="5">
                  <c:v>CUST006</c:v>
                </c:pt>
                <c:pt idx="6">
                  <c:v>CUST007</c:v>
                </c:pt>
                <c:pt idx="7">
                  <c:v>CUST008</c:v>
                </c:pt>
                <c:pt idx="8">
                  <c:v>CUST009</c:v>
                </c:pt>
                <c:pt idx="9">
                  <c:v>CUST010</c:v>
                </c:pt>
                <c:pt idx="10">
                  <c:v>CUST011</c:v>
                </c:pt>
                <c:pt idx="11">
                  <c:v>CUST012</c:v>
                </c:pt>
                <c:pt idx="12">
                  <c:v>CUST013</c:v>
                </c:pt>
                <c:pt idx="13">
                  <c:v>CUST014</c:v>
                </c:pt>
                <c:pt idx="14">
                  <c:v>CUST015</c:v>
                </c:pt>
                <c:pt idx="15">
                  <c:v>CUST016</c:v>
                </c:pt>
                <c:pt idx="16">
                  <c:v>CUST017</c:v>
                </c:pt>
                <c:pt idx="17">
                  <c:v>CUST018</c:v>
                </c:pt>
                <c:pt idx="18">
                  <c:v>CUST019</c:v>
                </c:pt>
                <c:pt idx="19">
                  <c:v>CUST020</c:v>
                </c:pt>
                <c:pt idx="20">
                  <c:v>CUST021</c:v>
                </c:pt>
                <c:pt idx="21">
                  <c:v>CUST022</c:v>
                </c:pt>
                <c:pt idx="22">
                  <c:v>CUST023</c:v>
                </c:pt>
                <c:pt idx="23">
                  <c:v>CUST024</c:v>
                </c:pt>
                <c:pt idx="24">
                  <c:v>CUST025</c:v>
                </c:pt>
                <c:pt idx="25">
                  <c:v>CUST026</c:v>
                </c:pt>
                <c:pt idx="26">
                  <c:v>CUST027</c:v>
                </c:pt>
                <c:pt idx="27">
                  <c:v>CUST028</c:v>
                </c:pt>
                <c:pt idx="28">
                  <c:v>CUST029</c:v>
                </c:pt>
                <c:pt idx="29">
                  <c:v>CUST030</c:v>
                </c:pt>
              </c:strCache>
            </c:strRef>
          </c:cat>
          <c:val>
            <c:numRef>
              <c:f>Sheet5!$C$5:$C$35</c:f>
              <c:numCache>
                <c:formatCode>General</c:formatCode>
                <c:ptCount val="30"/>
                <c:pt idx="2">
                  <c:v>902.19</c:v>
                </c:pt>
                <c:pt idx="6">
                  <c:v>953.3</c:v>
                </c:pt>
                <c:pt idx="9">
                  <c:v>737.31</c:v>
                </c:pt>
                <c:pt idx="11">
                  <c:v>2461.64</c:v>
                </c:pt>
                <c:pt idx="14">
                  <c:v>2395.5100000000002</c:v>
                </c:pt>
                <c:pt idx="20">
                  <c:v>1205.82</c:v>
                </c:pt>
                <c:pt idx="29">
                  <c:v>1291.47</c:v>
                </c:pt>
              </c:numCache>
            </c:numRef>
          </c:val>
          <c:extLst>
            <c:ext xmlns:c16="http://schemas.microsoft.com/office/drawing/2014/chart" uri="{C3380CC4-5D6E-409C-BE32-E72D297353CC}">
              <c16:uniqueId val="{00000001-E6E7-436B-B767-246BF34663C9}"/>
            </c:ext>
          </c:extLst>
        </c:ser>
        <c:ser>
          <c:idx val="2"/>
          <c:order val="2"/>
          <c:tx>
            <c:strRef>
              <c:f>Sheet5!$D$3:$D$4</c:f>
              <c:strCache>
                <c:ptCount val="1"/>
                <c:pt idx="0">
                  <c:v>Electronics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Sheet5!$A$5:$A$35</c:f>
              <c:strCache>
                <c:ptCount val="30"/>
                <c:pt idx="0">
                  <c:v>CUST001</c:v>
                </c:pt>
                <c:pt idx="1">
                  <c:v>CUST002</c:v>
                </c:pt>
                <c:pt idx="2">
                  <c:v>CUST003</c:v>
                </c:pt>
                <c:pt idx="3">
                  <c:v>CUST004</c:v>
                </c:pt>
                <c:pt idx="4">
                  <c:v>CUST005</c:v>
                </c:pt>
                <c:pt idx="5">
                  <c:v>CUST006</c:v>
                </c:pt>
                <c:pt idx="6">
                  <c:v>CUST007</c:v>
                </c:pt>
                <c:pt idx="7">
                  <c:v>CUST008</c:v>
                </c:pt>
                <c:pt idx="8">
                  <c:v>CUST009</c:v>
                </c:pt>
                <c:pt idx="9">
                  <c:v>CUST010</c:v>
                </c:pt>
                <c:pt idx="10">
                  <c:v>CUST011</c:v>
                </c:pt>
                <c:pt idx="11">
                  <c:v>CUST012</c:v>
                </c:pt>
                <c:pt idx="12">
                  <c:v>CUST013</c:v>
                </c:pt>
                <c:pt idx="13">
                  <c:v>CUST014</c:v>
                </c:pt>
                <c:pt idx="14">
                  <c:v>CUST015</c:v>
                </c:pt>
                <c:pt idx="15">
                  <c:v>CUST016</c:v>
                </c:pt>
                <c:pt idx="16">
                  <c:v>CUST017</c:v>
                </c:pt>
                <c:pt idx="17">
                  <c:v>CUST018</c:v>
                </c:pt>
                <c:pt idx="18">
                  <c:v>CUST019</c:v>
                </c:pt>
                <c:pt idx="19">
                  <c:v>CUST020</c:v>
                </c:pt>
                <c:pt idx="20">
                  <c:v>CUST021</c:v>
                </c:pt>
                <c:pt idx="21">
                  <c:v>CUST022</c:v>
                </c:pt>
                <c:pt idx="22">
                  <c:v>CUST023</c:v>
                </c:pt>
                <c:pt idx="23">
                  <c:v>CUST024</c:v>
                </c:pt>
                <c:pt idx="24">
                  <c:v>CUST025</c:v>
                </c:pt>
                <c:pt idx="25">
                  <c:v>CUST026</c:v>
                </c:pt>
                <c:pt idx="26">
                  <c:v>CUST027</c:v>
                </c:pt>
                <c:pt idx="27">
                  <c:v>CUST028</c:v>
                </c:pt>
                <c:pt idx="28">
                  <c:v>CUST029</c:v>
                </c:pt>
                <c:pt idx="29">
                  <c:v>CUST030</c:v>
                </c:pt>
              </c:strCache>
            </c:strRef>
          </c:cat>
          <c:val>
            <c:numRef>
              <c:f>Sheet5!$D$5:$D$35</c:f>
              <c:numCache>
                <c:formatCode>General</c:formatCode>
                <c:ptCount val="30"/>
                <c:pt idx="0">
                  <c:v>1317.53</c:v>
                </c:pt>
                <c:pt idx="2">
                  <c:v>3500.3399999999997</c:v>
                </c:pt>
                <c:pt idx="4">
                  <c:v>2263.86</c:v>
                </c:pt>
                <c:pt idx="6">
                  <c:v>1021.47</c:v>
                </c:pt>
                <c:pt idx="7">
                  <c:v>775.45</c:v>
                </c:pt>
                <c:pt idx="8">
                  <c:v>818.8</c:v>
                </c:pt>
                <c:pt idx="9">
                  <c:v>1173.1199999999999</c:v>
                </c:pt>
                <c:pt idx="11">
                  <c:v>1215.26</c:v>
                </c:pt>
                <c:pt idx="16">
                  <c:v>856.7</c:v>
                </c:pt>
                <c:pt idx="20">
                  <c:v>1988.15</c:v>
                </c:pt>
                <c:pt idx="21">
                  <c:v>388.56</c:v>
                </c:pt>
                <c:pt idx="22">
                  <c:v>706.37</c:v>
                </c:pt>
                <c:pt idx="23">
                  <c:v>2066.37</c:v>
                </c:pt>
                <c:pt idx="24">
                  <c:v>1450.71</c:v>
                </c:pt>
                <c:pt idx="25">
                  <c:v>645.02</c:v>
                </c:pt>
                <c:pt idx="27">
                  <c:v>1591.29</c:v>
                </c:pt>
                <c:pt idx="28">
                  <c:v>1841.71</c:v>
                </c:pt>
                <c:pt idx="29">
                  <c:v>608.66</c:v>
                </c:pt>
              </c:numCache>
            </c:numRef>
          </c:val>
          <c:extLst>
            <c:ext xmlns:c16="http://schemas.microsoft.com/office/drawing/2014/chart" uri="{C3380CC4-5D6E-409C-BE32-E72D297353CC}">
              <c16:uniqueId val="{00000002-E6E7-436B-B767-246BF34663C9}"/>
            </c:ext>
          </c:extLst>
        </c:ser>
        <c:ser>
          <c:idx val="3"/>
          <c:order val="3"/>
          <c:tx>
            <c:strRef>
              <c:f>Sheet5!$E$3:$E$4</c:f>
              <c:strCache>
                <c:ptCount val="1"/>
                <c:pt idx="0">
                  <c:v>Furniture</c:v>
                </c:pt>
              </c:strCache>
            </c:strRef>
          </c:tx>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Sheet5!$A$5:$A$35</c:f>
              <c:strCache>
                <c:ptCount val="30"/>
                <c:pt idx="0">
                  <c:v>CUST001</c:v>
                </c:pt>
                <c:pt idx="1">
                  <c:v>CUST002</c:v>
                </c:pt>
                <c:pt idx="2">
                  <c:v>CUST003</c:v>
                </c:pt>
                <c:pt idx="3">
                  <c:v>CUST004</c:v>
                </c:pt>
                <c:pt idx="4">
                  <c:v>CUST005</c:v>
                </c:pt>
                <c:pt idx="5">
                  <c:v>CUST006</c:v>
                </c:pt>
                <c:pt idx="6">
                  <c:v>CUST007</c:v>
                </c:pt>
                <c:pt idx="7">
                  <c:v>CUST008</c:v>
                </c:pt>
                <c:pt idx="8">
                  <c:v>CUST009</c:v>
                </c:pt>
                <c:pt idx="9">
                  <c:v>CUST010</c:v>
                </c:pt>
                <c:pt idx="10">
                  <c:v>CUST011</c:v>
                </c:pt>
                <c:pt idx="11">
                  <c:v>CUST012</c:v>
                </c:pt>
                <c:pt idx="12">
                  <c:v>CUST013</c:v>
                </c:pt>
                <c:pt idx="13">
                  <c:v>CUST014</c:v>
                </c:pt>
                <c:pt idx="14">
                  <c:v>CUST015</c:v>
                </c:pt>
                <c:pt idx="15">
                  <c:v>CUST016</c:v>
                </c:pt>
                <c:pt idx="16">
                  <c:v>CUST017</c:v>
                </c:pt>
                <c:pt idx="17">
                  <c:v>CUST018</c:v>
                </c:pt>
                <c:pt idx="18">
                  <c:v>CUST019</c:v>
                </c:pt>
                <c:pt idx="19">
                  <c:v>CUST020</c:v>
                </c:pt>
                <c:pt idx="20">
                  <c:v>CUST021</c:v>
                </c:pt>
                <c:pt idx="21">
                  <c:v>CUST022</c:v>
                </c:pt>
                <c:pt idx="22">
                  <c:v>CUST023</c:v>
                </c:pt>
                <c:pt idx="23">
                  <c:v>CUST024</c:v>
                </c:pt>
                <c:pt idx="24">
                  <c:v>CUST025</c:v>
                </c:pt>
                <c:pt idx="25">
                  <c:v>CUST026</c:v>
                </c:pt>
                <c:pt idx="26">
                  <c:v>CUST027</c:v>
                </c:pt>
                <c:pt idx="27">
                  <c:v>CUST028</c:v>
                </c:pt>
                <c:pt idx="28">
                  <c:v>CUST029</c:v>
                </c:pt>
                <c:pt idx="29">
                  <c:v>CUST030</c:v>
                </c:pt>
              </c:strCache>
            </c:strRef>
          </c:cat>
          <c:val>
            <c:numRef>
              <c:f>Sheet5!$E$5:$E$35</c:f>
              <c:numCache>
                <c:formatCode>General</c:formatCode>
                <c:ptCount val="30"/>
                <c:pt idx="0">
                  <c:v>853.72</c:v>
                </c:pt>
                <c:pt idx="2">
                  <c:v>1034.7</c:v>
                </c:pt>
                <c:pt idx="3">
                  <c:v>518.07000000000005</c:v>
                </c:pt>
                <c:pt idx="4">
                  <c:v>2180.38</c:v>
                </c:pt>
                <c:pt idx="6">
                  <c:v>2067.19</c:v>
                </c:pt>
                <c:pt idx="7">
                  <c:v>773.09</c:v>
                </c:pt>
                <c:pt idx="12">
                  <c:v>727.73</c:v>
                </c:pt>
                <c:pt idx="19">
                  <c:v>2515.0299999999997</c:v>
                </c:pt>
                <c:pt idx="20">
                  <c:v>1186.8499999999999</c:v>
                </c:pt>
                <c:pt idx="22">
                  <c:v>1695.98</c:v>
                </c:pt>
                <c:pt idx="25">
                  <c:v>3235.4300000000003</c:v>
                </c:pt>
                <c:pt idx="27">
                  <c:v>1410.06</c:v>
                </c:pt>
                <c:pt idx="28">
                  <c:v>1694.6399999999999</c:v>
                </c:pt>
                <c:pt idx="29">
                  <c:v>1762.47</c:v>
                </c:pt>
              </c:numCache>
            </c:numRef>
          </c:val>
          <c:extLst>
            <c:ext xmlns:c16="http://schemas.microsoft.com/office/drawing/2014/chart" uri="{C3380CC4-5D6E-409C-BE32-E72D297353CC}">
              <c16:uniqueId val="{00000003-E6E7-436B-B767-246BF34663C9}"/>
            </c:ext>
          </c:extLst>
        </c:ser>
        <c:ser>
          <c:idx val="4"/>
          <c:order val="4"/>
          <c:tx>
            <c:strRef>
              <c:f>Sheet5!$F$3:$F$4</c:f>
              <c:strCache>
                <c:ptCount val="1"/>
                <c:pt idx="0">
                  <c:v>Office Supplies</c:v>
                </c:pt>
              </c:strCache>
            </c:strRef>
          </c:tx>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Sheet5!$A$5:$A$35</c:f>
              <c:strCache>
                <c:ptCount val="30"/>
                <c:pt idx="0">
                  <c:v>CUST001</c:v>
                </c:pt>
                <c:pt idx="1">
                  <c:v>CUST002</c:v>
                </c:pt>
                <c:pt idx="2">
                  <c:v>CUST003</c:v>
                </c:pt>
                <c:pt idx="3">
                  <c:v>CUST004</c:v>
                </c:pt>
                <c:pt idx="4">
                  <c:v>CUST005</c:v>
                </c:pt>
                <c:pt idx="5">
                  <c:v>CUST006</c:v>
                </c:pt>
                <c:pt idx="6">
                  <c:v>CUST007</c:v>
                </c:pt>
                <c:pt idx="7">
                  <c:v>CUST008</c:v>
                </c:pt>
                <c:pt idx="8">
                  <c:v>CUST009</c:v>
                </c:pt>
                <c:pt idx="9">
                  <c:v>CUST010</c:v>
                </c:pt>
                <c:pt idx="10">
                  <c:v>CUST011</c:v>
                </c:pt>
                <c:pt idx="11">
                  <c:v>CUST012</c:v>
                </c:pt>
                <c:pt idx="12">
                  <c:v>CUST013</c:v>
                </c:pt>
                <c:pt idx="13">
                  <c:v>CUST014</c:v>
                </c:pt>
                <c:pt idx="14">
                  <c:v>CUST015</c:v>
                </c:pt>
                <c:pt idx="15">
                  <c:v>CUST016</c:v>
                </c:pt>
                <c:pt idx="16">
                  <c:v>CUST017</c:v>
                </c:pt>
                <c:pt idx="17">
                  <c:v>CUST018</c:v>
                </c:pt>
                <c:pt idx="18">
                  <c:v>CUST019</c:v>
                </c:pt>
                <c:pt idx="19">
                  <c:v>CUST020</c:v>
                </c:pt>
                <c:pt idx="20">
                  <c:v>CUST021</c:v>
                </c:pt>
                <c:pt idx="21">
                  <c:v>CUST022</c:v>
                </c:pt>
                <c:pt idx="22">
                  <c:v>CUST023</c:v>
                </c:pt>
                <c:pt idx="23">
                  <c:v>CUST024</c:v>
                </c:pt>
                <c:pt idx="24">
                  <c:v>CUST025</c:v>
                </c:pt>
                <c:pt idx="25">
                  <c:v>CUST026</c:v>
                </c:pt>
                <c:pt idx="26">
                  <c:v>CUST027</c:v>
                </c:pt>
                <c:pt idx="27">
                  <c:v>CUST028</c:v>
                </c:pt>
                <c:pt idx="28">
                  <c:v>CUST029</c:v>
                </c:pt>
                <c:pt idx="29">
                  <c:v>CUST030</c:v>
                </c:pt>
              </c:strCache>
            </c:strRef>
          </c:cat>
          <c:val>
            <c:numRef>
              <c:f>Sheet5!$F$5:$F$35</c:f>
              <c:numCache>
                <c:formatCode>General</c:formatCode>
                <c:ptCount val="30"/>
                <c:pt idx="3">
                  <c:v>1443.98</c:v>
                </c:pt>
                <c:pt idx="7">
                  <c:v>804.81</c:v>
                </c:pt>
                <c:pt idx="9">
                  <c:v>488.99</c:v>
                </c:pt>
                <c:pt idx="10">
                  <c:v>1001.57</c:v>
                </c:pt>
                <c:pt idx="11">
                  <c:v>925.31</c:v>
                </c:pt>
                <c:pt idx="13">
                  <c:v>1572.82</c:v>
                </c:pt>
                <c:pt idx="14">
                  <c:v>1200.9000000000001</c:v>
                </c:pt>
                <c:pt idx="16">
                  <c:v>826.93</c:v>
                </c:pt>
                <c:pt idx="18">
                  <c:v>840.92</c:v>
                </c:pt>
                <c:pt idx="19">
                  <c:v>981.2</c:v>
                </c:pt>
                <c:pt idx="22">
                  <c:v>1710.75</c:v>
                </c:pt>
                <c:pt idx="24">
                  <c:v>1225.42</c:v>
                </c:pt>
                <c:pt idx="25">
                  <c:v>1111.3399999999999</c:v>
                </c:pt>
                <c:pt idx="26">
                  <c:v>875.41</c:v>
                </c:pt>
                <c:pt idx="27">
                  <c:v>2009.3200000000002</c:v>
                </c:pt>
              </c:numCache>
            </c:numRef>
          </c:val>
          <c:extLst>
            <c:ext xmlns:c16="http://schemas.microsoft.com/office/drawing/2014/chart" uri="{C3380CC4-5D6E-409C-BE32-E72D297353CC}">
              <c16:uniqueId val="{00000004-E6E7-436B-B767-246BF34663C9}"/>
            </c:ext>
          </c:extLst>
        </c:ser>
        <c:dLbls>
          <c:showLegendKey val="0"/>
          <c:showVal val="0"/>
          <c:showCatName val="0"/>
          <c:showSerName val="0"/>
          <c:showPercent val="0"/>
          <c:showBubbleSize val="0"/>
        </c:dLbls>
        <c:gapWidth val="100"/>
        <c:overlap val="-24"/>
        <c:axId val="1145010527"/>
        <c:axId val="1145008127"/>
      </c:barChart>
      <c:catAx>
        <c:axId val="11450105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5008127"/>
        <c:crosses val="autoZero"/>
        <c:auto val="1"/>
        <c:lblAlgn val="ctr"/>
        <c:lblOffset val="100"/>
        <c:noMultiLvlLbl val="0"/>
      </c:catAx>
      <c:valAx>
        <c:axId val="11450081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501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[final_project.xlsx]Sheet2!PivotTable1</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 wise total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Sheet2!$B$3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964-4B06-B90E-141B55B8C90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964-4B06-B90E-141B55B8C90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964-4B06-B90E-141B55B8C90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1964-4B06-B90E-141B55B8C90C}"/>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1964-4B06-B90E-141B55B8C9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Sheet2!$A$4:$A$9</c:f>
              <c:strCache>
                <c:ptCount val="5"/>
                <c:pt idx="0">
                  <c:v>Central</c:v>
                </c:pt>
                <c:pt idx="1">
                  <c:v>East</c:v>
                </c:pt>
                <c:pt idx="2">
                  <c:v>North</c:v>
                </c:pt>
                <c:pt idx="3">
                  <c:v>South</c:v>
                </c:pt>
                <c:pt idx="4">
                  <c:v>West</c:v>
                </c:pt>
              </c:strCache>
            </c:strRef>
          </c:cat>
          <c:val>
            <c:numRef>
              <c:f>Sheet2!$B$4:$B$9</c:f>
              <c:numCache>
                <c:formatCode>General</c:formatCode>
                <c:ptCount val="5"/>
                <c:pt idx="0">
                  <c:v>21044.670000000002</c:v>
                </c:pt>
                <c:pt idx="1">
                  <c:v>14131.150000000001</c:v>
                </c:pt>
                <c:pt idx="2">
                  <c:v>15546.630000000001</c:v>
                </c:pt>
                <c:pt idx="3">
                  <c:v>22191.74</c:v>
                </c:pt>
                <c:pt idx="4">
                  <c:v>25468.699999999997</c:v>
                </c:pt>
              </c:numCache>
            </c:numRef>
          </c:val>
          <c:extLst>
            <c:ext xmlns:c16="http://schemas.microsoft.com/office/drawing/2014/chart" uri="{C3380CC4-5D6E-409C-BE32-E72D297353CC}">
              <c16:uniqueId val="{0000000A-1964-4B06-B90E-141B55B8C90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[final_project.xlsx]Sheet5!PivotTable28</c:name>
    <c:fmtId val="0"/>
  </c:pivotSource>
  <c:chart>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Books</c:v>
                </c:pt>
              </c:strCache>
            </c:strRef>
          </c:tx>
          <c:spPr>
            <a:gradFill rotWithShape="1">
              <a:gsLst>
                <a:gs pos="0">
                  <a:schemeClr val="accent5">
                    <a:shade val="53000"/>
                    <a:shade val="51000"/>
                    <a:satMod val="130000"/>
                  </a:schemeClr>
                </a:gs>
                <a:gs pos="80000">
                  <a:schemeClr val="accent5">
                    <a:shade val="53000"/>
                    <a:shade val="93000"/>
                    <a:satMod val="130000"/>
                  </a:schemeClr>
                </a:gs>
                <a:gs pos="100000">
                  <a:schemeClr val="accent5">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Sheet5!$A$5:$A$35</c:f>
              <c:strCache>
                <c:ptCount val="30"/>
                <c:pt idx="0">
                  <c:v>CUST001</c:v>
                </c:pt>
                <c:pt idx="1">
                  <c:v>CUST002</c:v>
                </c:pt>
                <c:pt idx="2">
                  <c:v>CUST003</c:v>
                </c:pt>
                <c:pt idx="3">
                  <c:v>CUST004</c:v>
                </c:pt>
                <c:pt idx="4">
                  <c:v>CUST005</c:v>
                </c:pt>
                <c:pt idx="5">
                  <c:v>CUST006</c:v>
                </c:pt>
                <c:pt idx="6">
                  <c:v>CUST007</c:v>
                </c:pt>
                <c:pt idx="7">
                  <c:v>CUST008</c:v>
                </c:pt>
                <c:pt idx="8">
                  <c:v>CUST009</c:v>
                </c:pt>
                <c:pt idx="9">
                  <c:v>CUST010</c:v>
                </c:pt>
                <c:pt idx="10">
                  <c:v>CUST011</c:v>
                </c:pt>
                <c:pt idx="11">
                  <c:v>CUST012</c:v>
                </c:pt>
                <c:pt idx="12">
                  <c:v>CUST013</c:v>
                </c:pt>
                <c:pt idx="13">
                  <c:v>CUST014</c:v>
                </c:pt>
                <c:pt idx="14">
                  <c:v>CUST015</c:v>
                </c:pt>
                <c:pt idx="15">
                  <c:v>CUST016</c:v>
                </c:pt>
                <c:pt idx="16">
                  <c:v>CUST017</c:v>
                </c:pt>
                <c:pt idx="17">
                  <c:v>CUST018</c:v>
                </c:pt>
                <c:pt idx="18">
                  <c:v>CUST019</c:v>
                </c:pt>
                <c:pt idx="19">
                  <c:v>CUST020</c:v>
                </c:pt>
                <c:pt idx="20">
                  <c:v>CUST021</c:v>
                </c:pt>
                <c:pt idx="21">
                  <c:v>CUST022</c:v>
                </c:pt>
                <c:pt idx="22">
                  <c:v>CUST023</c:v>
                </c:pt>
                <c:pt idx="23">
                  <c:v>CUST024</c:v>
                </c:pt>
                <c:pt idx="24">
                  <c:v>CUST025</c:v>
                </c:pt>
                <c:pt idx="25">
                  <c:v>CUST026</c:v>
                </c:pt>
                <c:pt idx="26">
                  <c:v>CUST027</c:v>
                </c:pt>
                <c:pt idx="27">
                  <c:v>CUST028</c:v>
                </c:pt>
                <c:pt idx="28">
                  <c:v>CUST029</c:v>
                </c:pt>
                <c:pt idx="29">
                  <c:v>CUST030</c:v>
                </c:pt>
              </c:strCache>
            </c:strRef>
          </c:cat>
          <c:val>
            <c:numRef>
              <c:f>Sheet5!$B$5:$B$35</c:f>
              <c:numCache>
                <c:formatCode>General</c:formatCode>
                <c:ptCount val="30"/>
                <c:pt idx="0">
                  <c:v>636.70000000000005</c:v>
                </c:pt>
                <c:pt idx="1">
                  <c:v>1819.3400000000001</c:v>
                </c:pt>
                <c:pt idx="2">
                  <c:v>1248.82</c:v>
                </c:pt>
                <c:pt idx="4">
                  <c:v>2221.8900000000003</c:v>
                </c:pt>
                <c:pt idx="5">
                  <c:v>1506.14</c:v>
                </c:pt>
                <c:pt idx="6">
                  <c:v>2810.38</c:v>
                </c:pt>
                <c:pt idx="7">
                  <c:v>877.58</c:v>
                </c:pt>
                <c:pt idx="8">
                  <c:v>501.54</c:v>
                </c:pt>
                <c:pt idx="11">
                  <c:v>1276.83</c:v>
                </c:pt>
                <c:pt idx="13">
                  <c:v>1343.13</c:v>
                </c:pt>
                <c:pt idx="15">
                  <c:v>580.42999999999995</c:v>
                </c:pt>
                <c:pt idx="16">
                  <c:v>713.34</c:v>
                </c:pt>
                <c:pt idx="17">
                  <c:v>966.3</c:v>
                </c:pt>
                <c:pt idx="18">
                  <c:v>1779.2599999999998</c:v>
                </c:pt>
                <c:pt idx="19">
                  <c:v>917.48</c:v>
                </c:pt>
                <c:pt idx="20">
                  <c:v>2224.15</c:v>
                </c:pt>
                <c:pt idx="21">
                  <c:v>2287.6999999999998</c:v>
                </c:pt>
                <c:pt idx="29">
                  <c:v>1820.26</c:v>
                </c:pt>
              </c:numCache>
            </c:numRef>
          </c:val>
          <c:extLst>
            <c:ext xmlns:c16="http://schemas.microsoft.com/office/drawing/2014/chart" uri="{C3380CC4-5D6E-409C-BE32-E72D297353CC}">
              <c16:uniqueId val="{00000000-48EF-42E1-97E4-50B63212A239}"/>
            </c:ext>
          </c:extLst>
        </c:ser>
        <c:ser>
          <c:idx val="1"/>
          <c:order val="1"/>
          <c:tx>
            <c:strRef>
              <c:f>Sheet5!$C$3:$C$4</c:f>
              <c:strCache>
                <c:ptCount val="1"/>
                <c:pt idx="0">
                  <c:v>Clothing</c:v>
                </c:pt>
              </c:strCache>
            </c:strRef>
          </c:tx>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Sheet5!$A$5:$A$35</c:f>
              <c:strCache>
                <c:ptCount val="30"/>
                <c:pt idx="0">
                  <c:v>CUST001</c:v>
                </c:pt>
                <c:pt idx="1">
                  <c:v>CUST002</c:v>
                </c:pt>
                <c:pt idx="2">
                  <c:v>CUST003</c:v>
                </c:pt>
                <c:pt idx="3">
                  <c:v>CUST004</c:v>
                </c:pt>
                <c:pt idx="4">
                  <c:v>CUST005</c:v>
                </c:pt>
                <c:pt idx="5">
                  <c:v>CUST006</c:v>
                </c:pt>
                <c:pt idx="6">
                  <c:v>CUST007</c:v>
                </c:pt>
                <c:pt idx="7">
                  <c:v>CUST008</c:v>
                </c:pt>
                <c:pt idx="8">
                  <c:v>CUST009</c:v>
                </c:pt>
                <c:pt idx="9">
                  <c:v>CUST010</c:v>
                </c:pt>
                <c:pt idx="10">
                  <c:v>CUST011</c:v>
                </c:pt>
                <c:pt idx="11">
                  <c:v>CUST012</c:v>
                </c:pt>
                <c:pt idx="12">
                  <c:v>CUST013</c:v>
                </c:pt>
                <c:pt idx="13">
                  <c:v>CUST014</c:v>
                </c:pt>
                <c:pt idx="14">
                  <c:v>CUST015</c:v>
                </c:pt>
                <c:pt idx="15">
                  <c:v>CUST016</c:v>
                </c:pt>
                <c:pt idx="16">
                  <c:v>CUST017</c:v>
                </c:pt>
                <c:pt idx="17">
                  <c:v>CUST018</c:v>
                </c:pt>
                <c:pt idx="18">
                  <c:v>CUST019</c:v>
                </c:pt>
                <c:pt idx="19">
                  <c:v>CUST020</c:v>
                </c:pt>
                <c:pt idx="20">
                  <c:v>CUST021</c:v>
                </c:pt>
                <c:pt idx="21">
                  <c:v>CUST022</c:v>
                </c:pt>
                <c:pt idx="22">
                  <c:v>CUST023</c:v>
                </c:pt>
                <c:pt idx="23">
                  <c:v>CUST024</c:v>
                </c:pt>
                <c:pt idx="24">
                  <c:v>CUST025</c:v>
                </c:pt>
                <c:pt idx="25">
                  <c:v>CUST026</c:v>
                </c:pt>
                <c:pt idx="26">
                  <c:v>CUST027</c:v>
                </c:pt>
                <c:pt idx="27">
                  <c:v>CUST028</c:v>
                </c:pt>
                <c:pt idx="28">
                  <c:v>CUST029</c:v>
                </c:pt>
                <c:pt idx="29">
                  <c:v>CUST030</c:v>
                </c:pt>
              </c:strCache>
            </c:strRef>
          </c:cat>
          <c:val>
            <c:numRef>
              <c:f>Sheet5!$C$5:$C$35</c:f>
              <c:numCache>
                <c:formatCode>General</c:formatCode>
                <c:ptCount val="30"/>
                <c:pt idx="2">
                  <c:v>902.19</c:v>
                </c:pt>
                <c:pt idx="6">
                  <c:v>953.3</c:v>
                </c:pt>
                <c:pt idx="9">
                  <c:v>737.31</c:v>
                </c:pt>
                <c:pt idx="11">
                  <c:v>2461.64</c:v>
                </c:pt>
                <c:pt idx="14">
                  <c:v>2395.5100000000002</c:v>
                </c:pt>
                <c:pt idx="20">
                  <c:v>1205.82</c:v>
                </c:pt>
                <c:pt idx="29">
                  <c:v>1291.47</c:v>
                </c:pt>
              </c:numCache>
            </c:numRef>
          </c:val>
          <c:extLst>
            <c:ext xmlns:c16="http://schemas.microsoft.com/office/drawing/2014/chart" uri="{C3380CC4-5D6E-409C-BE32-E72D297353CC}">
              <c16:uniqueId val="{00000001-48EF-42E1-97E4-50B63212A239}"/>
            </c:ext>
          </c:extLst>
        </c:ser>
        <c:ser>
          <c:idx val="2"/>
          <c:order val="2"/>
          <c:tx>
            <c:strRef>
              <c:f>Sheet5!$D$3:$D$4</c:f>
              <c:strCache>
                <c:ptCount val="1"/>
                <c:pt idx="0">
                  <c:v>Electronics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Sheet5!$A$5:$A$35</c:f>
              <c:strCache>
                <c:ptCount val="30"/>
                <c:pt idx="0">
                  <c:v>CUST001</c:v>
                </c:pt>
                <c:pt idx="1">
                  <c:v>CUST002</c:v>
                </c:pt>
                <c:pt idx="2">
                  <c:v>CUST003</c:v>
                </c:pt>
                <c:pt idx="3">
                  <c:v>CUST004</c:v>
                </c:pt>
                <c:pt idx="4">
                  <c:v>CUST005</c:v>
                </c:pt>
                <c:pt idx="5">
                  <c:v>CUST006</c:v>
                </c:pt>
                <c:pt idx="6">
                  <c:v>CUST007</c:v>
                </c:pt>
                <c:pt idx="7">
                  <c:v>CUST008</c:v>
                </c:pt>
                <c:pt idx="8">
                  <c:v>CUST009</c:v>
                </c:pt>
                <c:pt idx="9">
                  <c:v>CUST010</c:v>
                </c:pt>
                <c:pt idx="10">
                  <c:v>CUST011</c:v>
                </c:pt>
                <c:pt idx="11">
                  <c:v>CUST012</c:v>
                </c:pt>
                <c:pt idx="12">
                  <c:v>CUST013</c:v>
                </c:pt>
                <c:pt idx="13">
                  <c:v>CUST014</c:v>
                </c:pt>
                <c:pt idx="14">
                  <c:v>CUST015</c:v>
                </c:pt>
                <c:pt idx="15">
                  <c:v>CUST016</c:v>
                </c:pt>
                <c:pt idx="16">
                  <c:v>CUST017</c:v>
                </c:pt>
                <c:pt idx="17">
                  <c:v>CUST018</c:v>
                </c:pt>
                <c:pt idx="18">
                  <c:v>CUST019</c:v>
                </c:pt>
                <c:pt idx="19">
                  <c:v>CUST020</c:v>
                </c:pt>
                <c:pt idx="20">
                  <c:v>CUST021</c:v>
                </c:pt>
                <c:pt idx="21">
                  <c:v>CUST022</c:v>
                </c:pt>
                <c:pt idx="22">
                  <c:v>CUST023</c:v>
                </c:pt>
                <c:pt idx="23">
                  <c:v>CUST024</c:v>
                </c:pt>
                <c:pt idx="24">
                  <c:v>CUST025</c:v>
                </c:pt>
                <c:pt idx="25">
                  <c:v>CUST026</c:v>
                </c:pt>
                <c:pt idx="26">
                  <c:v>CUST027</c:v>
                </c:pt>
                <c:pt idx="27">
                  <c:v>CUST028</c:v>
                </c:pt>
                <c:pt idx="28">
                  <c:v>CUST029</c:v>
                </c:pt>
                <c:pt idx="29">
                  <c:v>CUST030</c:v>
                </c:pt>
              </c:strCache>
            </c:strRef>
          </c:cat>
          <c:val>
            <c:numRef>
              <c:f>Sheet5!$D$5:$D$35</c:f>
              <c:numCache>
                <c:formatCode>General</c:formatCode>
                <c:ptCount val="30"/>
                <c:pt idx="0">
                  <c:v>1317.53</c:v>
                </c:pt>
                <c:pt idx="2">
                  <c:v>3500.3399999999997</c:v>
                </c:pt>
                <c:pt idx="4">
                  <c:v>2263.86</c:v>
                </c:pt>
                <c:pt idx="6">
                  <c:v>1021.47</c:v>
                </c:pt>
                <c:pt idx="7">
                  <c:v>775.45</c:v>
                </c:pt>
                <c:pt idx="8">
                  <c:v>818.8</c:v>
                </c:pt>
                <c:pt idx="9">
                  <c:v>1173.1199999999999</c:v>
                </c:pt>
                <c:pt idx="11">
                  <c:v>1215.26</c:v>
                </c:pt>
                <c:pt idx="16">
                  <c:v>856.7</c:v>
                </c:pt>
                <c:pt idx="20">
                  <c:v>1988.15</c:v>
                </c:pt>
                <c:pt idx="21">
                  <c:v>388.56</c:v>
                </c:pt>
                <c:pt idx="22">
                  <c:v>706.37</c:v>
                </c:pt>
                <c:pt idx="23">
                  <c:v>2066.37</c:v>
                </c:pt>
                <c:pt idx="24">
                  <c:v>1450.71</c:v>
                </c:pt>
                <c:pt idx="25">
                  <c:v>645.02</c:v>
                </c:pt>
                <c:pt idx="27">
                  <c:v>1591.29</c:v>
                </c:pt>
                <c:pt idx="28">
                  <c:v>1841.71</c:v>
                </c:pt>
                <c:pt idx="29">
                  <c:v>608.66</c:v>
                </c:pt>
              </c:numCache>
            </c:numRef>
          </c:val>
          <c:extLst>
            <c:ext xmlns:c16="http://schemas.microsoft.com/office/drawing/2014/chart" uri="{C3380CC4-5D6E-409C-BE32-E72D297353CC}">
              <c16:uniqueId val="{00000002-48EF-42E1-97E4-50B63212A239}"/>
            </c:ext>
          </c:extLst>
        </c:ser>
        <c:ser>
          <c:idx val="3"/>
          <c:order val="3"/>
          <c:tx>
            <c:strRef>
              <c:f>Sheet5!$E$3:$E$4</c:f>
              <c:strCache>
                <c:ptCount val="1"/>
                <c:pt idx="0">
                  <c:v>Furniture</c:v>
                </c:pt>
              </c:strCache>
            </c:strRef>
          </c:tx>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Sheet5!$A$5:$A$35</c:f>
              <c:strCache>
                <c:ptCount val="30"/>
                <c:pt idx="0">
                  <c:v>CUST001</c:v>
                </c:pt>
                <c:pt idx="1">
                  <c:v>CUST002</c:v>
                </c:pt>
                <c:pt idx="2">
                  <c:v>CUST003</c:v>
                </c:pt>
                <c:pt idx="3">
                  <c:v>CUST004</c:v>
                </c:pt>
                <c:pt idx="4">
                  <c:v>CUST005</c:v>
                </c:pt>
                <c:pt idx="5">
                  <c:v>CUST006</c:v>
                </c:pt>
                <c:pt idx="6">
                  <c:v>CUST007</c:v>
                </c:pt>
                <c:pt idx="7">
                  <c:v>CUST008</c:v>
                </c:pt>
                <c:pt idx="8">
                  <c:v>CUST009</c:v>
                </c:pt>
                <c:pt idx="9">
                  <c:v>CUST010</c:v>
                </c:pt>
                <c:pt idx="10">
                  <c:v>CUST011</c:v>
                </c:pt>
                <c:pt idx="11">
                  <c:v>CUST012</c:v>
                </c:pt>
                <c:pt idx="12">
                  <c:v>CUST013</c:v>
                </c:pt>
                <c:pt idx="13">
                  <c:v>CUST014</c:v>
                </c:pt>
                <c:pt idx="14">
                  <c:v>CUST015</c:v>
                </c:pt>
                <c:pt idx="15">
                  <c:v>CUST016</c:v>
                </c:pt>
                <c:pt idx="16">
                  <c:v>CUST017</c:v>
                </c:pt>
                <c:pt idx="17">
                  <c:v>CUST018</c:v>
                </c:pt>
                <c:pt idx="18">
                  <c:v>CUST019</c:v>
                </c:pt>
                <c:pt idx="19">
                  <c:v>CUST020</c:v>
                </c:pt>
                <c:pt idx="20">
                  <c:v>CUST021</c:v>
                </c:pt>
                <c:pt idx="21">
                  <c:v>CUST022</c:v>
                </c:pt>
                <c:pt idx="22">
                  <c:v>CUST023</c:v>
                </c:pt>
                <c:pt idx="23">
                  <c:v>CUST024</c:v>
                </c:pt>
                <c:pt idx="24">
                  <c:v>CUST025</c:v>
                </c:pt>
                <c:pt idx="25">
                  <c:v>CUST026</c:v>
                </c:pt>
                <c:pt idx="26">
                  <c:v>CUST027</c:v>
                </c:pt>
                <c:pt idx="27">
                  <c:v>CUST028</c:v>
                </c:pt>
                <c:pt idx="28">
                  <c:v>CUST029</c:v>
                </c:pt>
                <c:pt idx="29">
                  <c:v>CUST030</c:v>
                </c:pt>
              </c:strCache>
            </c:strRef>
          </c:cat>
          <c:val>
            <c:numRef>
              <c:f>Sheet5!$E$5:$E$35</c:f>
              <c:numCache>
                <c:formatCode>General</c:formatCode>
                <c:ptCount val="30"/>
                <c:pt idx="0">
                  <c:v>853.72</c:v>
                </c:pt>
                <c:pt idx="2">
                  <c:v>1034.7</c:v>
                </c:pt>
                <c:pt idx="3">
                  <c:v>518.07000000000005</c:v>
                </c:pt>
                <c:pt idx="4">
                  <c:v>2180.38</c:v>
                </c:pt>
                <c:pt idx="6">
                  <c:v>2067.19</c:v>
                </c:pt>
                <c:pt idx="7">
                  <c:v>773.09</c:v>
                </c:pt>
                <c:pt idx="12">
                  <c:v>727.73</c:v>
                </c:pt>
                <c:pt idx="19">
                  <c:v>2515.0299999999997</c:v>
                </c:pt>
                <c:pt idx="20">
                  <c:v>1186.8499999999999</c:v>
                </c:pt>
                <c:pt idx="22">
                  <c:v>1695.98</c:v>
                </c:pt>
                <c:pt idx="25">
                  <c:v>3235.4300000000003</c:v>
                </c:pt>
                <c:pt idx="27">
                  <c:v>1410.06</c:v>
                </c:pt>
                <c:pt idx="28">
                  <c:v>1694.6399999999999</c:v>
                </c:pt>
                <c:pt idx="29">
                  <c:v>1762.47</c:v>
                </c:pt>
              </c:numCache>
            </c:numRef>
          </c:val>
          <c:extLst>
            <c:ext xmlns:c16="http://schemas.microsoft.com/office/drawing/2014/chart" uri="{C3380CC4-5D6E-409C-BE32-E72D297353CC}">
              <c16:uniqueId val="{00000003-48EF-42E1-97E4-50B63212A239}"/>
            </c:ext>
          </c:extLst>
        </c:ser>
        <c:ser>
          <c:idx val="4"/>
          <c:order val="4"/>
          <c:tx>
            <c:strRef>
              <c:f>Sheet5!$F$3:$F$4</c:f>
              <c:strCache>
                <c:ptCount val="1"/>
                <c:pt idx="0">
                  <c:v>Office Supplies</c:v>
                </c:pt>
              </c:strCache>
            </c:strRef>
          </c:tx>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Sheet5!$A$5:$A$35</c:f>
              <c:strCache>
                <c:ptCount val="30"/>
                <c:pt idx="0">
                  <c:v>CUST001</c:v>
                </c:pt>
                <c:pt idx="1">
                  <c:v>CUST002</c:v>
                </c:pt>
                <c:pt idx="2">
                  <c:v>CUST003</c:v>
                </c:pt>
                <c:pt idx="3">
                  <c:v>CUST004</c:v>
                </c:pt>
                <c:pt idx="4">
                  <c:v>CUST005</c:v>
                </c:pt>
                <c:pt idx="5">
                  <c:v>CUST006</c:v>
                </c:pt>
                <c:pt idx="6">
                  <c:v>CUST007</c:v>
                </c:pt>
                <c:pt idx="7">
                  <c:v>CUST008</c:v>
                </c:pt>
                <c:pt idx="8">
                  <c:v>CUST009</c:v>
                </c:pt>
                <c:pt idx="9">
                  <c:v>CUST010</c:v>
                </c:pt>
                <c:pt idx="10">
                  <c:v>CUST011</c:v>
                </c:pt>
                <c:pt idx="11">
                  <c:v>CUST012</c:v>
                </c:pt>
                <c:pt idx="12">
                  <c:v>CUST013</c:v>
                </c:pt>
                <c:pt idx="13">
                  <c:v>CUST014</c:v>
                </c:pt>
                <c:pt idx="14">
                  <c:v>CUST015</c:v>
                </c:pt>
                <c:pt idx="15">
                  <c:v>CUST016</c:v>
                </c:pt>
                <c:pt idx="16">
                  <c:v>CUST017</c:v>
                </c:pt>
                <c:pt idx="17">
                  <c:v>CUST018</c:v>
                </c:pt>
                <c:pt idx="18">
                  <c:v>CUST019</c:v>
                </c:pt>
                <c:pt idx="19">
                  <c:v>CUST020</c:v>
                </c:pt>
                <c:pt idx="20">
                  <c:v>CUST021</c:v>
                </c:pt>
                <c:pt idx="21">
                  <c:v>CUST022</c:v>
                </c:pt>
                <c:pt idx="22">
                  <c:v>CUST023</c:v>
                </c:pt>
                <c:pt idx="23">
                  <c:v>CUST024</c:v>
                </c:pt>
                <c:pt idx="24">
                  <c:v>CUST025</c:v>
                </c:pt>
                <c:pt idx="25">
                  <c:v>CUST026</c:v>
                </c:pt>
                <c:pt idx="26">
                  <c:v>CUST027</c:v>
                </c:pt>
                <c:pt idx="27">
                  <c:v>CUST028</c:v>
                </c:pt>
                <c:pt idx="28">
                  <c:v>CUST029</c:v>
                </c:pt>
                <c:pt idx="29">
                  <c:v>CUST030</c:v>
                </c:pt>
              </c:strCache>
            </c:strRef>
          </c:cat>
          <c:val>
            <c:numRef>
              <c:f>Sheet5!$F$5:$F$35</c:f>
              <c:numCache>
                <c:formatCode>General</c:formatCode>
                <c:ptCount val="30"/>
                <c:pt idx="3">
                  <c:v>1443.98</c:v>
                </c:pt>
                <c:pt idx="7">
                  <c:v>804.81</c:v>
                </c:pt>
                <c:pt idx="9">
                  <c:v>488.99</c:v>
                </c:pt>
                <c:pt idx="10">
                  <c:v>1001.57</c:v>
                </c:pt>
                <c:pt idx="11">
                  <c:v>925.31</c:v>
                </c:pt>
                <c:pt idx="13">
                  <c:v>1572.82</c:v>
                </c:pt>
                <c:pt idx="14">
                  <c:v>1200.9000000000001</c:v>
                </c:pt>
                <c:pt idx="16">
                  <c:v>826.93</c:v>
                </c:pt>
                <c:pt idx="18">
                  <c:v>840.92</c:v>
                </c:pt>
                <c:pt idx="19">
                  <c:v>981.2</c:v>
                </c:pt>
                <c:pt idx="22">
                  <c:v>1710.75</c:v>
                </c:pt>
                <c:pt idx="24">
                  <c:v>1225.42</c:v>
                </c:pt>
                <c:pt idx="25">
                  <c:v>1111.3399999999999</c:v>
                </c:pt>
                <c:pt idx="26">
                  <c:v>875.41</c:v>
                </c:pt>
                <c:pt idx="27">
                  <c:v>2009.3200000000002</c:v>
                </c:pt>
              </c:numCache>
            </c:numRef>
          </c:val>
          <c:extLst>
            <c:ext xmlns:c16="http://schemas.microsoft.com/office/drawing/2014/chart" uri="{C3380CC4-5D6E-409C-BE32-E72D297353CC}">
              <c16:uniqueId val="{00000004-48EF-42E1-97E4-50B63212A239}"/>
            </c:ext>
          </c:extLst>
        </c:ser>
        <c:dLbls>
          <c:showLegendKey val="0"/>
          <c:showVal val="0"/>
          <c:showCatName val="0"/>
          <c:showSerName val="0"/>
          <c:showPercent val="0"/>
          <c:showBubbleSize val="0"/>
        </c:dLbls>
        <c:gapWidth val="100"/>
        <c:overlap val="-24"/>
        <c:axId val="1145010527"/>
        <c:axId val="1145008127"/>
      </c:barChart>
      <c:catAx>
        <c:axId val="11450105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5008127"/>
        <c:crosses val="autoZero"/>
        <c:auto val="1"/>
        <c:lblAlgn val="ctr"/>
        <c:lblOffset val="100"/>
        <c:noMultiLvlLbl val="0"/>
      </c:catAx>
      <c:valAx>
        <c:axId val="11450081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501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[final_project.xlsx]Sheet2!PivotTable1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rigion wise total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Sheet2!$A$4:$A$9</c:f>
              <c:strCache>
                <c:ptCount val="5"/>
                <c:pt idx="0">
                  <c:v>Central</c:v>
                </c:pt>
                <c:pt idx="1">
                  <c:v>East</c:v>
                </c:pt>
                <c:pt idx="2">
                  <c:v>North</c:v>
                </c:pt>
                <c:pt idx="3">
                  <c:v>South</c:v>
                </c:pt>
                <c:pt idx="4">
                  <c:v>West</c:v>
                </c:pt>
              </c:strCache>
            </c:strRef>
          </c:cat>
          <c:val>
            <c:numRef>
              <c:f>Sheet2!$B$4:$B$9</c:f>
              <c:numCache>
                <c:formatCode>General</c:formatCode>
                <c:ptCount val="5"/>
                <c:pt idx="0">
                  <c:v>21044.670000000002</c:v>
                </c:pt>
                <c:pt idx="1">
                  <c:v>14131.150000000001</c:v>
                </c:pt>
                <c:pt idx="2">
                  <c:v>15546.630000000001</c:v>
                </c:pt>
                <c:pt idx="3">
                  <c:v>22191.74</c:v>
                </c:pt>
                <c:pt idx="4">
                  <c:v>25468.699999999997</c:v>
                </c:pt>
              </c:numCache>
            </c:numRef>
          </c:val>
          <c:extLst>
            <c:ext xmlns:c16="http://schemas.microsoft.com/office/drawing/2014/chart" uri="{C3380CC4-5D6E-409C-BE32-E72D297353CC}">
              <c16:uniqueId val="{00000000-F6D3-490D-ADB1-31E2A927799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8</xdr:col>
      <xdr:colOff>807720</xdr:colOff>
      <xdr:row>2</xdr:row>
      <xdr:rowOff>3810</xdr:rowOff>
    </xdr:from>
    <xdr:to>
      <xdr:col>12</xdr:col>
      <xdr:colOff>1280160</xdr:colOff>
      <xdr:row>17</xdr:row>
      <xdr:rowOff>3810</xdr:rowOff>
    </xdr:to>
    <xdr:graphicFrame macro="">
      <xdr:nvGraphicFramePr>
        <xdr:cNvPr id="2" name="Chart 1">
          <a:extLst>
            <a:ext uri="{FF2B5EF4-FFF2-40B4-BE49-F238E27FC236}">
              <a16:creationId xmlns:a16="http://schemas.microsoft.com/office/drawing/2014/main" id="{A97F8940-7A69-58C5-09EC-E816073C0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19</xdr:row>
      <xdr:rowOff>76200</xdr:rowOff>
    </xdr:from>
    <xdr:to>
      <xdr:col>6</xdr:col>
      <xdr:colOff>502920</xdr:colOff>
      <xdr:row>34</xdr:row>
      <xdr:rowOff>144780</xdr:rowOff>
    </xdr:to>
    <xdr:graphicFrame macro="">
      <xdr:nvGraphicFramePr>
        <xdr:cNvPr id="2" name="Chart 1">
          <a:extLst>
            <a:ext uri="{FF2B5EF4-FFF2-40B4-BE49-F238E27FC236}">
              <a16:creationId xmlns:a16="http://schemas.microsoft.com/office/drawing/2014/main" id="{89561E3A-EA76-46E2-9125-3F45C75A9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60960</xdr:colOff>
      <xdr:row>19</xdr:row>
      <xdr:rowOff>53340</xdr:rowOff>
    </xdr:from>
    <xdr:to>
      <xdr:col>13</xdr:col>
      <xdr:colOff>365760</xdr:colOff>
      <xdr:row>34</xdr:row>
      <xdr:rowOff>53340</xdr:rowOff>
    </xdr:to>
    <xdr:graphicFrame macro="">
      <xdr:nvGraphicFramePr>
        <xdr:cNvPr id="4" name="Chart 3">
          <a:extLst>
            <a:ext uri="{FF2B5EF4-FFF2-40B4-BE49-F238E27FC236}">
              <a16:creationId xmlns:a16="http://schemas.microsoft.com/office/drawing/2014/main" id="{F6202657-7F7B-426A-B1AF-2EBAD0C6E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91440</xdr:colOff>
      <xdr:row>5</xdr:row>
      <xdr:rowOff>15239</xdr:rowOff>
    </xdr:from>
    <xdr:to>
      <xdr:col>3</xdr:col>
      <xdr:colOff>114300</xdr:colOff>
      <xdr:row>14</xdr:row>
      <xdr:rowOff>53340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3FD4D20D-E537-BB14-5C5C-5A3AE3FD494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1440" y="929639"/>
              <a:ext cx="1851660" cy="16840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152400</xdr:colOff>
      <xdr:row>5</xdr:row>
      <xdr:rowOff>22861</xdr:rowOff>
    </xdr:from>
    <xdr:to>
      <xdr:col>6</xdr:col>
      <xdr:colOff>533400</xdr:colOff>
      <xdr:row>14</xdr:row>
      <xdr:rowOff>60961</xdr:rowOff>
    </xdr:to>
    <mc:AlternateContent xmlns:mc="http://schemas.openxmlformats.org/markup-compatibility/2006">
      <mc:Choice xmlns:a14="http://schemas.microsoft.com/office/drawing/2010/main" Requires="a14">
        <xdr:graphicFrame macro="">
          <xdr:nvGraphicFramePr>
            <xdr:cNvPr id="8" name="Product_Category">
              <a:extLst>
                <a:ext uri="{FF2B5EF4-FFF2-40B4-BE49-F238E27FC236}">
                  <a16:creationId xmlns:a16="http://schemas.microsoft.com/office/drawing/2014/main" id="{EA1ADBCE-6BD3-D242-2871-F353109ECF1E}"/>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981200" y="937261"/>
              <a:ext cx="177546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91440</xdr:colOff>
      <xdr:row>4</xdr:row>
      <xdr:rowOff>160020</xdr:rowOff>
    </xdr:from>
    <xdr:to>
      <xdr:col>13</xdr:col>
      <xdr:colOff>312420</xdr:colOff>
      <xdr:row>18</xdr:row>
      <xdr:rowOff>152400</xdr:rowOff>
    </xdr:to>
    <xdr:graphicFrame macro="">
      <xdr:nvGraphicFramePr>
        <xdr:cNvPr id="10" name="Chart 9">
          <a:extLst>
            <a:ext uri="{FF2B5EF4-FFF2-40B4-BE49-F238E27FC236}">
              <a16:creationId xmlns:a16="http://schemas.microsoft.com/office/drawing/2014/main" id="{2D747DDB-9AA2-4974-8E4A-8A6DFC54E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167640</xdr:colOff>
      <xdr:row>15</xdr:row>
      <xdr:rowOff>15240</xdr:rowOff>
    </xdr:from>
    <xdr:to>
      <xdr:col>2</xdr:col>
      <xdr:colOff>441960</xdr:colOff>
      <xdr:row>16</xdr:row>
      <xdr:rowOff>60960</xdr:rowOff>
    </xdr:to>
    <xdr:sp macro="" textlink="">
      <xdr:nvSpPr>
        <xdr:cNvPr id="14" name="TextBox 13">
          <a:extLst>
            <a:ext uri="{FF2B5EF4-FFF2-40B4-BE49-F238E27FC236}">
              <a16:creationId xmlns:a16="http://schemas.microsoft.com/office/drawing/2014/main" id="{5077E4BA-28D2-0433-B69D-D62C7338F5E9}"/>
            </a:ext>
          </a:extLst>
        </xdr:cNvPr>
        <xdr:cNvSpPr txBox="1"/>
      </xdr:nvSpPr>
      <xdr:spPr>
        <a:xfrm>
          <a:off x="167640" y="2758440"/>
          <a:ext cx="149352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tx1"/>
              </a:solidFill>
            </a:rPr>
            <a:t>total sales</a:t>
          </a:r>
        </a:p>
      </xdr:txBody>
    </xdr:sp>
    <xdr:clientData/>
  </xdr:twoCellAnchor>
  <xdr:twoCellAnchor>
    <xdr:from>
      <xdr:col>4</xdr:col>
      <xdr:colOff>228600</xdr:colOff>
      <xdr:row>15</xdr:row>
      <xdr:rowOff>30480</xdr:rowOff>
    </xdr:from>
    <xdr:to>
      <xdr:col>6</xdr:col>
      <xdr:colOff>403860</xdr:colOff>
      <xdr:row>16</xdr:row>
      <xdr:rowOff>68580</xdr:rowOff>
    </xdr:to>
    <xdr:sp macro="" textlink="">
      <xdr:nvSpPr>
        <xdr:cNvPr id="15" name="TextBox 14">
          <a:extLst>
            <a:ext uri="{FF2B5EF4-FFF2-40B4-BE49-F238E27FC236}">
              <a16:creationId xmlns:a16="http://schemas.microsoft.com/office/drawing/2014/main" id="{36513CDE-E226-4AAF-DFD6-526C985464FD}"/>
            </a:ext>
          </a:extLst>
        </xdr:cNvPr>
        <xdr:cNvSpPr txBox="1"/>
      </xdr:nvSpPr>
      <xdr:spPr>
        <a:xfrm rot="10800000" flipV="1">
          <a:off x="2232660" y="2773680"/>
          <a:ext cx="1394460" cy="220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total profit</a:t>
          </a:r>
        </a:p>
        <a:p>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137160</xdr:colOff>
      <xdr:row>9</xdr:row>
      <xdr:rowOff>95250</xdr:rowOff>
    </xdr:from>
    <xdr:to>
      <xdr:col>15</xdr:col>
      <xdr:colOff>441960</xdr:colOff>
      <xdr:row>24</xdr:row>
      <xdr:rowOff>95250</xdr:rowOff>
    </xdr:to>
    <xdr:graphicFrame macro="">
      <xdr:nvGraphicFramePr>
        <xdr:cNvPr id="2" name="Chart 1">
          <a:extLst>
            <a:ext uri="{FF2B5EF4-FFF2-40B4-BE49-F238E27FC236}">
              <a16:creationId xmlns:a16="http://schemas.microsoft.com/office/drawing/2014/main" id="{41AB599B-27D1-1446-1DAC-ADE1100ABC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594360</xdr:colOff>
      <xdr:row>4</xdr:row>
      <xdr:rowOff>72390</xdr:rowOff>
    </xdr:from>
    <xdr:to>
      <xdr:col>12</xdr:col>
      <xdr:colOff>289560</xdr:colOff>
      <xdr:row>19</xdr:row>
      <xdr:rowOff>72390</xdr:rowOff>
    </xdr:to>
    <xdr:graphicFrame macro="">
      <xdr:nvGraphicFramePr>
        <xdr:cNvPr id="2" name="Chart 1">
          <a:extLst>
            <a:ext uri="{FF2B5EF4-FFF2-40B4-BE49-F238E27FC236}">
              <a16:creationId xmlns:a16="http://schemas.microsoft.com/office/drawing/2014/main" id="{8C7E9F4F-7210-BC0B-40D0-AE17D8ED06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refreshedDate="45971.478174537035" createdVersion="8" refreshedVersion="8" minRefreshableVersion="3" recordCount="100" xr:uid="{3DEE2E3E-77E4-4E6E-BDB4-4F785979937D}">
  <cacheSource type="worksheet">
    <worksheetSource ref="A1:J101" sheet="datasat"/>
  </cacheSource>
  <cacheFields count="10">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388.56" maxValue="1572.82" count="100">
        <n v="1036.0899999999999"/>
        <n v="1101.28"/>
        <n v="713.34"/>
        <n v="760.93"/>
        <n v="847"/>
        <n v="965.64"/>
        <n v="1317.53"/>
        <n v="1074.47"/>
        <n v="501.54"/>
        <n v="737.31"/>
        <n v="1572.82"/>
        <n v="1343.13"/>
        <n v="1191.58"/>
        <n v="822.28"/>
        <n v="521.66999999999996"/>
        <n v="1502.93"/>
        <n v="877.58"/>
        <n v="636.70000000000005"/>
        <n v="1506.14"/>
        <n v="645.02"/>
        <n v="953.3"/>
        <n v="388.56"/>
        <n v="743.17"/>
        <n v="706.37"/>
        <n v="925.31"/>
        <n v="1173.1199999999999"/>
        <n v="675.54"/>
        <n v="939.09"/>
        <n v="983.34"/>
        <n v="801.21"/>
        <n v="1450.71"/>
        <n v="1023.21"/>
        <n v="853.72"/>
        <n v="967.89"/>
        <n v="1200.9000000000001"/>
        <n v="472.38"/>
        <n v="840.92"/>
        <n v="1410.06"/>
        <n v="773.09"/>
        <n v="580.42999999999995"/>
        <n v="1151.21"/>
        <n v="1025.98"/>
        <n v="556.41999999999996"/>
        <n v="840.85"/>
        <n v="1227.25"/>
        <n v="856.7"/>
        <n v="1225.42"/>
        <n v="1001.57"/>
        <n v="1186.8499999999999"/>
        <n v="775.45"/>
        <n v="1021.47"/>
        <n v="1226.6199999999999"/>
        <n v="1086.93"/>
        <n v="942.9"/>
        <n v="818.8"/>
        <n v="919.04"/>
        <n v="973.26"/>
        <n v="741.61"/>
        <n v="1248.82"/>
        <n v="1360.36"/>
        <n v="1383.3"/>
        <n v="488.99"/>
        <n v="933.71"/>
        <n v="1005.53"/>
        <n v="1100.0999999999999"/>
        <n v="1034.7"/>
        <n v="876.44"/>
        <n v="1371.34"/>
        <n v="1020.26"/>
        <n v="804.81"/>
        <n v="608.66"/>
        <n v="981.2"/>
        <n v="539.77"/>
        <n v="804.45"/>
        <n v="1526.6"/>
        <n v="1215.26"/>
        <n v="1261.3399999999999"/>
        <n v="518.07000000000005"/>
        <n v="1111.3399999999999"/>
        <n v="1291.47"/>
        <n v="679.71"/>
        <n v="1143.69"/>
        <n v="790.08"/>
        <n v="1070.68"/>
        <n v="1168.8900000000001"/>
        <n v="1335.87"/>
        <n v="873.7"/>
        <n v="1443.98"/>
        <n v="1154.33"/>
        <n v="1264.49"/>
        <n v="1101.55"/>
        <n v="727.73"/>
        <n v="875.41"/>
        <n v="1158.94"/>
        <n v="966.3"/>
        <n v="917.48"/>
        <n v="1172.97"/>
        <n v="1205.82"/>
        <n v="826.93"/>
        <n v="902.19"/>
      </sharedItems>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4-09-30T00:00:00"/>
    </cacheField>
    <cacheField name="Profit" numFmtId="0">
      <sharedItems containsSemiMixedTypes="0" containsString="0" containsNumber="1" minValue="82.57" maxValue="680.18" count="100">
        <n v="331.55"/>
        <n v="440.51"/>
        <n v="285.33999999999997"/>
        <n v="161.69999999999999"/>
        <n v="271.04000000000002"/>
        <n v="304.18"/>
        <n v="312.91000000000003"/>
        <n v="300.85000000000002"/>
        <n v="190.59"/>
        <n v="350.22"/>
        <n v="672.38"/>
        <n v="456.66"/>
        <n v="452.8"/>
        <n v="273.41000000000003"/>
        <n v="155.19999999999999"/>
        <n v="300.58999999999997"/>
        <n v="298.38"/>
        <n v="203.74"/>
        <n v="481.96"/>
        <n v="161.26"/>
        <n v="476.65"/>
        <n v="82.57"/>
        <n v="297.27"/>
        <n v="176.59"/>
        <n v="374.75"/>
        <n v="293.27999999999997"/>
        <n v="236.44"/>
        <n v="356.85"/>
        <n v="398.25"/>
        <n v="160.24"/>
        <n v="326.41000000000003"/>
        <n v="388.82"/>
        <n v="253.98"/>
        <n v="217.78"/>
        <n v="513.38"/>
        <n v="151.16"/>
        <n v="359.49"/>
        <n v="468.84"/>
        <n v="229.99"/>
        <n v="197.35"/>
        <n v="414.44"/>
        <n v="369.35"/>
        <n v="212.83"/>
        <n v="302.70999999999998"/>
        <n v="365.11"/>
        <n v="214.18"/>
        <n v="468.72"/>
        <n v="450.71"/>
        <n v="332.32"/>
        <n v="174.48"/>
        <n v="242.6"/>
        <n v="551.98"/>
        <n v="380.43"/>
        <n v="339.44"/>
        <n v="173.99"/>
        <n v="257.33"/>
        <n v="389.3"/>
        <n v="148.32"/>
        <n v="449.58"/>
        <n v="680.18"/>
        <n v="497.99"/>
        <n v="220.05"/>
        <n v="294.12"/>
        <n v="201.11"/>
        <n v="261.27"/>
        <n v="307.82"/>
        <n v="333.05"/>
        <n v="455.97"/>
        <n v="242.31"/>
        <n v="344.06"/>
        <n v="144.56"/>
        <n v="441.54"/>
        <n v="114.7"/>
        <n v="257.42"/>
        <n v="305.32"/>
        <n v="258.24"/>
        <n v="441.47"/>
        <n v="172.26"/>
        <n v="500.1"/>
        <n v="581.16"/>
        <n v="271.88"/>
        <n v="400.29"/>
        <n v="177.77"/>
        <n v="406.86"/>
        <n v="526"/>
        <n v="333.97"/>
        <n v="305.8"/>
        <n v="649.79"/>
        <n v="441.53"/>
        <n v="480.51"/>
        <n v="346.99"/>
        <n v="229.23"/>
        <n v="334.84"/>
        <n v="231.79"/>
        <n v="328.54"/>
        <n v="366.99"/>
        <n v="348.96"/>
        <n v="542.62"/>
        <n v="297.69"/>
        <n v="451.1"/>
      </sharedItems>
    </cacheField>
    <cacheField name="Profit2" numFmtId="0">
      <sharedItems containsSemiMixedTypes="0" containsString="0" containsNumber="1" minValue="13.5" maxValue="457.2"/>
    </cacheField>
  </cacheFields>
  <extLst>
    <ext xmlns:x14="http://schemas.microsoft.com/office/spreadsheetml/2009/9/main" uri="{725AE2AE-9491-48be-B2B4-4EB974FC3084}">
      <x14:pivotCacheDefinition pivotCacheId="2857630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refreshedDate="45971.514909953701" createdVersion="8" refreshedVersion="8" minRefreshableVersion="3" recordCount="100" xr:uid="{210A7CB8-508B-4309-9051-7EBEDFD2EA7C}">
  <cacheSource type="worksheet">
    <worksheetSource ref="A1:I101" sheet="datasat"/>
  </cacheSource>
  <cacheFields count="9">
    <cacheField name="Customer_ID" numFmtId="0">
      <sharedItems count="30">
        <s v="CUST019"/>
        <s v="CUST012"/>
        <s v="CUST017"/>
        <s v="CUST005"/>
        <s v="CUST030"/>
        <s v="CUST007"/>
        <s v="CUST001"/>
        <s v="CUST026"/>
        <s v="CUST009"/>
        <s v="CUST010"/>
        <s v="CUST014"/>
        <s v="CUST023"/>
        <s v="CUST029"/>
        <s v="CUST008"/>
        <s v="CUST006"/>
        <s v="CUST022"/>
        <s v="CUST028"/>
        <s v="CUST025"/>
        <s v="CUST021"/>
        <s v="CUST015"/>
        <s v="CUST016"/>
        <s v="CUST011"/>
        <s v="CUST002"/>
        <s v="CUST003"/>
        <s v="CUST020"/>
        <s v="CUST024"/>
        <s v="CUST004"/>
        <s v="CUST013"/>
        <s v="CUST027"/>
        <s v="CUST018"/>
      </sharedItems>
    </cacheField>
    <cacheField name="Customer_Name" numFmtId="0">
      <sharedItems/>
    </cacheField>
    <cacheField name="Region" numFmtId="0">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388.56" maxValue="1572.82"/>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4-09-30T00:00:00"/>
    </cacheField>
    <cacheField name="Profit" numFmtId="0">
      <sharedItems containsSemiMixedTypes="0" containsString="0" containsNumber="1" minValue="82.57" maxValue="680.1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refreshedDate="45971.538899884261" createdVersion="8" refreshedVersion="8" minRefreshableVersion="3" recordCount="100" xr:uid="{07AFC51F-DF40-41C1-899E-D831025DD3F4}">
  <cacheSource type="worksheet">
    <worksheetSource ref="C1:E101" sheet="datasat"/>
  </cacheSource>
  <cacheFields count="3">
    <cacheField name="Region" numFmtId="0">
      <sharedItems count="5">
        <s v="West"/>
        <s v="East"/>
        <s v="South"/>
        <s v="North"/>
        <s v="Central"/>
      </sharedItems>
    </cacheField>
    <cacheField name="Product_Category" numFmtId="0">
      <sharedItems/>
    </cacheField>
    <cacheField name="Sales" numFmtId="0">
      <sharedItems containsSemiMixedTypes="0" containsString="0" containsNumber="1" minValue="388.56" maxValue="1572.8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UST019"/>
    <s v="James Davis"/>
    <x v="0"/>
    <x v="0"/>
    <x v="0"/>
    <n v="4"/>
    <n v="0.2"/>
    <d v="2024-04-10T00:00:00"/>
    <x v="0"/>
    <n v="21.82"/>
  </r>
  <r>
    <s v="CUST012"/>
    <s v="Robert Anderson"/>
    <x v="0"/>
    <x v="1"/>
    <x v="1"/>
    <n v="3"/>
    <n v="0.2"/>
    <d v="2024-04-11T00:00:00"/>
    <x v="1"/>
    <n v="221.9"/>
  </r>
  <r>
    <s v="CUST017"/>
    <s v="James Taylor"/>
    <x v="1"/>
    <x v="0"/>
    <x v="2"/>
    <n v="17"/>
    <n v="0"/>
    <d v="2024-04-14T00:00:00"/>
    <x v="2"/>
    <n v="17.739999999999998"/>
  </r>
  <r>
    <s v="CUST005"/>
    <s v="Robert Anderson"/>
    <x v="2"/>
    <x v="2"/>
    <x v="3"/>
    <n v="4"/>
    <n v="0.15"/>
    <d v="2024-04-14T00:00:00"/>
    <x v="3"/>
    <n v="84.02"/>
  </r>
  <r>
    <s v="CUST030"/>
    <s v="James Wilson"/>
    <x v="3"/>
    <x v="0"/>
    <x v="4"/>
    <n v="12"/>
    <n v="0.2"/>
    <d v="2024-04-15T00:00:00"/>
    <x v="4"/>
    <n v="222.78"/>
  </r>
  <r>
    <s v="CUST007"/>
    <s v="Michael Anderson"/>
    <x v="3"/>
    <x v="3"/>
    <x v="5"/>
    <n v="8"/>
    <n v="0.1"/>
    <d v="2024-04-16T00:00:00"/>
    <x v="5"/>
    <n v="259.01"/>
  </r>
  <r>
    <s v="CUST001"/>
    <s v="Linda Wilson"/>
    <x v="0"/>
    <x v="2"/>
    <x v="6"/>
    <n v="12"/>
    <n v="0.05"/>
    <d v="2024-04-16T00:00:00"/>
    <x v="6"/>
    <n v="89.98"/>
  </r>
  <r>
    <s v="CUST026"/>
    <s v="Mary Davis"/>
    <x v="1"/>
    <x v="3"/>
    <x v="7"/>
    <n v="6"/>
    <n v="0.2"/>
    <d v="2024-04-19T00:00:00"/>
    <x v="7"/>
    <n v="239.36"/>
  </r>
  <r>
    <s v="CUST009"/>
    <s v="Linda Jackson"/>
    <x v="4"/>
    <x v="0"/>
    <x v="8"/>
    <n v="11"/>
    <n v="0.05"/>
    <d v="2024-04-19T00:00:00"/>
    <x v="8"/>
    <n v="229.49"/>
  </r>
  <r>
    <s v="CUST010"/>
    <s v="David Thomas"/>
    <x v="4"/>
    <x v="1"/>
    <x v="9"/>
    <n v="2"/>
    <n v="0.05"/>
    <d v="2024-04-19T00:00:00"/>
    <x v="9"/>
    <n v="265.87"/>
  </r>
  <r>
    <s v="CUST014"/>
    <s v="Emma Davis"/>
    <x v="0"/>
    <x v="4"/>
    <x v="10"/>
    <n v="6"/>
    <n v="0.05"/>
    <d v="2024-04-20T00:00:00"/>
    <x v="10"/>
    <n v="213.31"/>
  </r>
  <r>
    <s v="CUST014"/>
    <s v="David Thomas"/>
    <x v="4"/>
    <x v="0"/>
    <x v="11"/>
    <n v="14"/>
    <n v="0.15"/>
    <d v="2024-04-22T00:00:00"/>
    <x v="11"/>
    <n v="412.32"/>
  </r>
  <r>
    <s v="CUST007"/>
    <s v="Michael Anderson"/>
    <x v="4"/>
    <x v="0"/>
    <x v="12"/>
    <n v="14"/>
    <n v="0.05"/>
    <d v="2024-04-24T00:00:00"/>
    <x v="12"/>
    <n v="183.28"/>
  </r>
  <r>
    <s v="CUST023"/>
    <s v="Robert Anderson"/>
    <x v="0"/>
    <x v="3"/>
    <x v="13"/>
    <n v="7"/>
    <n v="0.05"/>
    <d v="2024-04-24T00:00:00"/>
    <x v="13"/>
    <n v="265.89999999999998"/>
  </r>
  <r>
    <s v="CUST029"/>
    <s v="David Smith"/>
    <x v="3"/>
    <x v="3"/>
    <x v="14"/>
    <n v="15"/>
    <n v="0.15"/>
    <d v="2024-04-27T00:00:00"/>
    <x v="14"/>
    <n v="39.33"/>
  </r>
  <r>
    <s v="CUST005"/>
    <s v="Sarah Anderson"/>
    <x v="2"/>
    <x v="2"/>
    <x v="15"/>
    <n v="14"/>
    <n v="0.2"/>
    <d v="2024-04-28T00:00:00"/>
    <x v="15"/>
    <n v="239.53"/>
  </r>
  <r>
    <s v="CUST008"/>
    <s v="Robert Anderson"/>
    <x v="2"/>
    <x v="0"/>
    <x v="16"/>
    <n v="10"/>
    <n v="0.15"/>
    <d v="2024-04-29T00:00:00"/>
    <x v="16"/>
    <n v="35.96"/>
  </r>
  <r>
    <s v="CUST001"/>
    <s v="Lisa Thomas"/>
    <x v="0"/>
    <x v="0"/>
    <x v="17"/>
    <n v="4"/>
    <n v="0.2"/>
    <d v="2024-04-29T00:00:00"/>
    <x v="17"/>
    <n v="186.31"/>
  </r>
  <r>
    <s v="CUST006"/>
    <s v="Mary Jackson"/>
    <x v="0"/>
    <x v="0"/>
    <x v="18"/>
    <n v="13"/>
    <n v="0.2"/>
    <d v="2024-04-30T00:00:00"/>
    <x v="18"/>
    <n v="271.27"/>
  </r>
  <r>
    <s v="CUST026"/>
    <s v="Mary Davis"/>
    <x v="4"/>
    <x v="2"/>
    <x v="19"/>
    <n v="4"/>
    <n v="0"/>
    <d v="2024-05-02T00:00:00"/>
    <x v="19"/>
    <n v="13.5"/>
  </r>
  <r>
    <s v="CUST007"/>
    <s v="Lisa Davis"/>
    <x v="2"/>
    <x v="1"/>
    <x v="20"/>
    <n v="11"/>
    <n v="0"/>
    <d v="2024-05-03T00:00:00"/>
    <x v="20"/>
    <n v="94.06"/>
  </r>
  <r>
    <s v="CUST022"/>
    <s v="Robert Anderson"/>
    <x v="3"/>
    <x v="2"/>
    <x v="21"/>
    <n v="14"/>
    <n v="0.15"/>
    <d v="2024-05-04T00:00:00"/>
    <x v="21"/>
    <n v="219.02"/>
  </r>
  <r>
    <s v="CUST019"/>
    <s v="Mary Davis"/>
    <x v="0"/>
    <x v="0"/>
    <x v="22"/>
    <n v="9"/>
    <n v="0"/>
    <d v="2024-05-04T00:00:00"/>
    <x v="22"/>
    <n v="64.84"/>
  </r>
  <r>
    <s v="CUST023"/>
    <s v="Mary Davis"/>
    <x v="4"/>
    <x v="2"/>
    <x v="23"/>
    <n v="6"/>
    <n v="0"/>
    <d v="2024-05-04T00:00:00"/>
    <x v="23"/>
    <n v="194.37"/>
  </r>
  <r>
    <s v="CUST012"/>
    <s v="Mary Davis"/>
    <x v="4"/>
    <x v="4"/>
    <x v="24"/>
    <n v="8"/>
    <n v="0.1"/>
    <d v="2024-05-06T00:00:00"/>
    <x v="24"/>
    <n v="49.78"/>
  </r>
  <r>
    <s v="CUST010"/>
    <s v="Linda Brown"/>
    <x v="2"/>
    <x v="2"/>
    <x v="25"/>
    <n v="18"/>
    <n v="0"/>
    <d v="2024-05-06T00:00:00"/>
    <x v="25"/>
    <n v="377.16"/>
  </r>
  <r>
    <s v="CUST030"/>
    <s v="John Brown"/>
    <x v="3"/>
    <x v="3"/>
    <x v="26"/>
    <n v="17"/>
    <n v="0"/>
    <d v="2024-05-08T00:00:00"/>
    <x v="26"/>
    <n v="49.41"/>
  </r>
  <r>
    <s v="CUST007"/>
    <s v="Robert Anderson"/>
    <x v="4"/>
    <x v="0"/>
    <x v="27"/>
    <n v="2"/>
    <n v="0.05"/>
    <d v="2024-05-10T00:00:00"/>
    <x v="27"/>
    <n v="123.75"/>
  </r>
  <r>
    <s v="CUST028"/>
    <s v="Linda Taylor"/>
    <x v="1"/>
    <x v="4"/>
    <x v="28"/>
    <n v="19"/>
    <n v="0.1"/>
    <d v="2024-05-14T00:00:00"/>
    <x v="28"/>
    <n v="29.72"/>
  </r>
  <r>
    <s v="CUST028"/>
    <s v="James Wilson"/>
    <x v="2"/>
    <x v="2"/>
    <x v="29"/>
    <n v="3"/>
    <n v="0.2"/>
    <d v="2024-05-14T00:00:00"/>
    <x v="29"/>
    <n v="355.1"/>
  </r>
  <r>
    <s v="CUST025"/>
    <s v="David Brown"/>
    <x v="3"/>
    <x v="2"/>
    <x v="30"/>
    <n v="5"/>
    <n v="0.1"/>
    <d v="2024-05-15T00:00:00"/>
    <x v="30"/>
    <n v="265.89"/>
  </r>
  <r>
    <s v="CUST022"/>
    <s v="David Davis"/>
    <x v="4"/>
    <x v="0"/>
    <x v="31"/>
    <n v="18"/>
    <n v="0.05"/>
    <d v="2024-05-16T00:00:00"/>
    <x v="31"/>
    <n v="115.76"/>
  </r>
  <r>
    <s v="CUST001"/>
    <s v="Mary Jackson"/>
    <x v="0"/>
    <x v="3"/>
    <x v="32"/>
    <n v="5"/>
    <n v="0.15"/>
    <d v="2024-05-16T00:00:00"/>
    <x v="32"/>
    <n v="41.31"/>
  </r>
  <r>
    <s v="CUST021"/>
    <s v="Sarah Anderson"/>
    <x v="2"/>
    <x v="2"/>
    <x v="33"/>
    <n v="10"/>
    <n v="0.1"/>
    <d v="2024-05-17T00:00:00"/>
    <x v="33"/>
    <n v="378.64"/>
  </r>
  <r>
    <s v="CUST015"/>
    <s v="Linda Taylor"/>
    <x v="3"/>
    <x v="4"/>
    <x v="34"/>
    <n v="14"/>
    <n v="0.05"/>
    <d v="2024-05-17T00:00:00"/>
    <x v="34"/>
    <n v="191.56"/>
  </r>
  <r>
    <s v="CUST012"/>
    <s v="Michael Anderson"/>
    <x v="0"/>
    <x v="0"/>
    <x v="35"/>
    <n v="12"/>
    <n v="0.2"/>
    <d v="2024-05-17T00:00:00"/>
    <x v="35"/>
    <n v="17.829999999999998"/>
  </r>
  <r>
    <s v="CUST019"/>
    <s v="David Brown"/>
    <x v="1"/>
    <x v="4"/>
    <x v="36"/>
    <n v="9"/>
    <n v="0.05"/>
    <d v="2024-05-17T00:00:00"/>
    <x v="36"/>
    <n v="213.06"/>
  </r>
  <r>
    <s v="CUST028"/>
    <s v="Lisa Davis"/>
    <x v="4"/>
    <x v="3"/>
    <x v="37"/>
    <n v="11"/>
    <n v="0.05"/>
    <d v="2024-05-22T00:00:00"/>
    <x v="37"/>
    <n v="53.57"/>
  </r>
  <r>
    <s v="CUST008"/>
    <s v="Mary Wilson"/>
    <x v="4"/>
    <x v="3"/>
    <x v="38"/>
    <n v="13"/>
    <n v="0.15"/>
    <d v="2024-05-22T00:00:00"/>
    <x v="38"/>
    <n v="155.11000000000001"/>
  </r>
  <r>
    <s v="CUST016"/>
    <s v="Emma Wilson"/>
    <x v="1"/>
    <x v="0"/>
    <x v="39"/>
    <n v="19"/>
    <n v="0.15"/>
    <d v="2024-05-23T00:00:00"/>
    <x v="39"/>
    <n v="300.11"/>
  </r>
  <r>
    <s v="CUST005"/>
    <s v="David Smith"/>
    <x v="2"/>
    <x v="0"/>
    <x v="40"/>
    <n v="15"/>
    <n v="0.1"/>
    <d v="2024-06-02T00:00:00"/>
    <x v="40"/>
    <n v="244.68"/>
  </r>
  <r>
    <s v="CUST028"/>
    <s v="James Wilson"/>
    <x v="4"/>
    <x v="4"/>
    <x v="41"/>
    <n v="5"/>
    <n v="0.2"/>
    <d v="2024-06-04T00:00:00"/>
    <x v="41"/>
    <n v="150.97"/>
  </r>
  <r>
    <s v="CUST023"/>
    <s v="David Davis"/>
    <x v="1"/>
    <x v="4"/>
    <x v="42"/>
    <n v="11"/>
    <n v="0.15"/>
    <d v="2024-06-04T00:00:00"/>
    <x v="42"/>
    <n v="169.79"/>
  </r>
  <r>
    <s v="CUST021"/>
    <s v="James Wilson"/>
    <x v="4"/>
    <x v="0"/>
    <x v="43"/>
    <n v="19"/>
    <n v="0.1"/>
    <d v="2024-06-05T00:00:00"/>
    <x v="43"/>
    <n v="212.53"/>
  </r>
  <r>
    <s v="CUST026"/>
    <s v="Emma Wilson"/>
    <x v="3"/>
    <x v="3"/>
    <x v="44"/>
    <n v="12"/>
    <n v="0.15"/>
    <d v="2024-06-05T00:00:00"/>
    <x v="44"/>
    <n v="156.29"/>
  </r>
  <r>
    <s v="CUST017"/>
    <s v="Linda Davis"/>
    <x v="4"/>
    <x v="2"/>
    <x v="45"/>
    <n v="2"/>
    <n v="0"/>
    <d v="2024-06-06T00:00:00"/>
    <x v="45"/>
    <n v="158.74"/>
  </r>
  <r>
    <s v="CUST025"/>
    <s v="David Davis"/>
    <x v="4"/>
    <x v="4"/>
    <x v="46"/>
    <n v="8"/>
    <n v="0.15"/>
    <d v="2024-06-06T00:00:00"/>
    <x v="46"/>
    <n v="239.93"/>
  </r>
  <r>
    <s v="CUST011"/>
    <s v="Mary Davis"/>
    <x v="3"/>
    <x v="4"/>
    <x v="47"/>
    <n v="12"/>
    <n v="0"/>
    <d v="2024-06-07T00:00:00"/>
    <x v="47"/>
    <n v="36.020000000000003"/>
  </r>
  <r>
    <s v="CUST021"/>
    <s v="Michael Anderson"/>
    <x v="1"/>
    <x v="3"/>
    <x v="48"/>
    <n v="19"/>
    <n v="0.2"/>
    <d v="2024-06-08T00:00:00"/>
    <x v="48"/>
    <n v="51.86"/>
  </r>
  <r>
    <s v="CUST008"/>
    <s v="John Brown"/>
    <x v="2"/>
    <x v="2"/>
    <x v="49"/>
    <n v="6"/>
    <n v="0.1"/>
    <d v="2024-06-14T00:00:00"/>
    <x v="49"/>
    <n v="213.74"/>
  </r>
  <r>
    <s v="CUST007"/>
    <s v="Linda Jackson"/>
    <x v="2"/>
    <x v="2"/>
    <x v="50"/>
    <n v="6"/>
    <n v="0.05"/>
    <d v="2024-06-18T00:00:00"/>
    <x v="50"/>
    <n v="418.47"/>
  </r>
  <r>
    <s v="CUST015"/>
    <s v="James Wilson"/>
    <x v="2"/>
    <x v="1"/>
    <x v="51"/>
    <n v="7"/>
    <n v="0.1"/>
    <d v="2024-06-20T00:00:00"/>
    <x v="51"/>
    <n v="131.57"/>
  </r>
  <r>
    <s v="CUST030"/>
    <s v="Sarah Davis"/>
    <x v="2"/>
    <x v="3"/>
    <x v="52"/>
    <n v="2"/>
    <n v="0"/>
    <d v="2024-06-21T00:00:00"/>
    <x v="52"/>
    <n v="182.14"/>
  </r>
  <r>
    <s v="CUST002"/>
    <s v="Lisa Davis"/>
    <x v="0"/>
    <x v="0"/>
    <x v="53"/>
    <n v="18"/>
    <n v="0.1"/>
    <d v="2024-06-23T00:00:00"/>
    <x v="53"/>
    <n v="32.67"/>
  </r>
  <r>
    <s v="CUST009"/>
    <s v="Emma Davis"/>
    <x v="3"/>
    <x v="2"/>
    <x v="54"/>
    <n v="15"/>
    <n v="0.15"/>
    <d v="2024-06-25T00:00:00"/>
    <x v="54"/>
    <n v="35.770000000000003"/>
  </r>
  <r>
    <s v="CUST005"/>
    <s v="Robert Anderson"/>
    <x v="2"/>
    <x v="3"/>
    <x v="55"/>
    <n v="10"/>
    <n v="0.2"/>
    <d v="2024-06-25T00:00:00"/>
    <x v="55"/>
    <n v="65.62"/>
  </r>
  <r>
    <s v="CUST030"/>
    <s v="Emma Taylor"/>
    <x v="4"/>
    <x v="0"/>
    <x v="56"/>
    <n v="11"/>
    <n v="0"/>
    <d v="2024-06-27T00:00:00"/>
    <x v="56"/>
    <n v="28.28"/>
  </r>
  <r>
    <s v="CUST029"/>
    <s v="Sarah Davis"/>
    <x v="3"/>
    <x v="2"/>
    <x v="57"/>
    <n v="1"/>
    <n v="0.2"/>
    <d v="2024-06-28T00:00:00"/>
    <x v="57"/>
    <n v="348.54"/>
  </r>
  <r>
    <s v="CUST003"/>
    <s v="Emma Davis"/>
    <x v="3"/>
    <x v="0"/>
    <x v="58"/>
    <n v="2"/>
    <n v="0.1"/>
    <d v="2024-06-30T00:00:00"/>
    <x v="58"/>
    <n v="161.41999999999999"/>
  </r>
  <r>
    <s v="CUST012"/>
    <s v="Mary Wilson"/>
    <x v="0"/>
    <x v="1"/>
    <x v="59"/>
    <n v="17"/>
    <n v="0"/>
    <d v="2024-06-30T00:00:00"/>
    <x v="59"/>
    <n v="166.24"/>
  </r>
  <r>
    <s v="CUST021"/>
    <s v="Mary Davis"/>
    <x v="1"/>
    <x v="0"/>
    <x v="60"/>
    <n v="8"/>
    <n v="0.1"/>
    <d v="2024-07-05T00:00:00"/>
    <x v="60"/>
    <n v="57.24"/>
  </r>
  <r>
    <s v="CUST010"/>
    <s v="David Brown"/>
    <x v="4"/>
    <x v="4"/>
    <x v="61"/>
    <n v="9"/>
    <n v="0"/>
    <d v="2024-07-06T00:00:00"/>
    <x v="61"/>
    <n v="441.91"/>
  </r>
  <r>
    <s v="CUST026"/>
    <s v="Mary Davis"/>
    <x v="1"/>
    <x v="3"/>
    <x v="62"/>
    <n v="17"/>
    <n v="0.1"/>
    <d v="2024-07-08T00:00:00"/>
    <x v="62"/>
    <n v="176.91"/>
  </r>
  <r>
    <s v="CUST003"/>
    <s v="James Davis"/>
    <x v="0"/>
    <x v="2"/>
    <x v="63"/>
    <n v="17"/>
    <n v="0.2"/>
    <d v="2024-07-08T00:00:00"/>
    <x v="63"/>
    <n v="386.61"/>
  </r>
  <r>
    <s v="CUST029"/>
    <s v="Emma Wilson"/>
    <x v="2"/>
    <x v="2"/>
    <x v="64"/>
    <n v="5"/>
    <n v="0.05"/>
    <d v="2024-07-09T00:00:00"/>
    <x v="64"/>
    <n v="112.75"/>
  </r>
  <r>
    <s v="CUST003"/>
    <s v="James Wilson"/>
    <x v="3"/>
    <x v="3"/>
    <x v="65"/>
    <n v="15"/>
    <n v="0.15"/>
    <d v="2024-07-14T00:00:00"/>
    <x v="65"/>
    <n v="137"/>
  </r>
  <r>
    <s v="CUST002"/>
    <s v="Mary Davis"/>
    <x v="2"/>
    <x v="0"/>
    <x v="66"/>
    <n v="12"/>
    <n v="0.05"/>
    <d v="2024-07-15T00:00:00"/>
    <x v="66"/>
    <n v="209.91"/>
  </r>
  <r>
    <s v="CUST020"/>
    <s v="David Brown"/>
    <x v="0"/>
    <x v="3"/>
    <x v="67"/>
    <n v="5"/>
    <n v="0.05"/>
    <d v="2024-07-15T00:00:00"/>
    <x v="67"/>
    <n v="223.24"/>
  </r>
  <r>
    <s v="CUST021"/>
    <s v="Mary Jackson"/>
    <x v="3"/>
    <x v="2"/>
    <x v="68"/>
    <n v="11"/>
    <n v="0.05"/>
    <d v="2024-07-21T00:00:00"/>
    <x v="68"/>
    <n v="167.21"/>
  </r>
  <r>
    <s v="CUST008"/>
    <s v="James Davis"/>
    <x v="4"/>
    <x v="4"/>
    <x v="69"/>
    <n v="1"/>
    <n v="0.05"/>
    <d v="2024-07-29T00:00:00"/>
    <x v="69"/>
    <n v="100.77"/>
  </r>
  <r>
    <s v="CUST030"/>
    <s v="David Brown"/>
    <x v="4"/>
    <x v="2"/>
    <x v="70"/>
    <n v="1"/>
    <n v="0.05"/>
    <d v="2024-07-30T00:00:00"/>
    <x v="70"/>
    <n v="55.74"/>
  </r>
  <r>
    <s v="CUST020"/>
    <s v="Linda Moore"/>
    <x v="2"/>
    <x v="4"/>
    <x v="71"/>
    <n v="19"/>
    <n v="0"/>
    <d v="2024-07-31T00:00:00"/>
    <x v="71"/>
    <n v="17.91"/>
  </r>
  <r>
    <s v="CUST024"/>
    <s v="David Brown"/>
    <x v="1"/>
    <x v="2"/>
    <x v="72"/>
    <n v="10"/>
    <n v="0.15"/>
    <d v="2024-08-05T00:00:00"/>
    <x v="72"/>
    <n v="34.17"/>
  </r>
  <r>
    <s v="CUST012"/>
    <s v="David Anderson"/>
    <x v="2"/>
    <x v="0"/>
    <x v="73"/>
    <n v="5"/>
    <n v="0.2"/>
    <d v="2024-08-05T00:00:00"/>
    <x v="73"/>
    <n v="53.09"/>
  </r>
  <r>
    <s v="CUST024"/>
    <s v="Emma Davis"/>
    <x v="0"/>
    <x v="2"/>
    <x v="74"/>
    <n v="13"/>
    <n v="0.2"/>
    <d v="2024-08-08T00:00:00"/>
    <x v="74"/>
    <n v="146.61000000000001"/>
  </r>
  <r>
    <s v="CUST012"/>
    <s v="Linda Wilson"/>
    <x v="0"/>
    <x v="2"/>
    <x v="75"/>
    <n v="5"/>
    <n v="0.15"/>
    <d v="2024-08-09T00:00:00"/>
    <x v="75"/>
    <n v="116.79"/>
  </r>
  <r>
    <s v="CUST005"/>
    <s v="Linda Taylor"/>
    <x v="4"/>
    <x v="3"/>
    <x v="76"/>
    <n v="3"/>
    <n v="0"/>
    <d v="2024-08-15T00:00:00"/>
    <x v="76"/>
    <n v="250.79"/>
  </r>
  <r>
    <s v="CUST004"/>
    <s v="Lisa Thomas"/>
    <x v="3"/>
    <x v="3"/>
    <x v="77"/>
    <n v="7"/>
    <n v="0.05"/>
    <d v="2024-08-18T00:00:00"/>
    <x v="77"/>
    <n v="173.4"/>
  </r>
  <r>
    <s v="CUST026"/>
    <s v="Linda Wilson"/>
    <x v="0"/>
    <x v="4"/>
    <x v="78"/>
    <n v="1"/>
    <n v="0"/>
    <d v="2024-08-19T00:00:00"/>
    <x v="78"/>
    <n v="59.61"/>
  </r>
  <r>
    <s v="CUST030"/>
    <s v="Mary Davis"/>
    <x v="1"/>
    <x v="1"/>
    <x v="79"/>
    <n v="18"/>
    <n v="0.1"/>
    <d v="2024-08-22T00:00:00"/>
    <x v="79"/>
    <n v="290.33"/>
  </r>
  <r>
    <s v="CUST007"/>
    <s v="David Brown"/>
    <x v="3"/>
    <x v="0"/>
    <x v="80"/>
    <n v="19"/>
    <n v="0"/>
    <d v="2024-08-30T00:00:00"/>
    <x v="80"/>
    <n v="222.54"/>
  </r>
  <r>
    <s v="CUST020"/>
    <s v="Linda Jackson"/>
    <x v="1"/>
    <x v="3"/>
    <x v="81"/>
    <n v="17"/>
    <n v="0"/>
    <d v="2024-08-30T00:00:00"/>
    <x v="81"/>
    <n v="84.69"/>
  </r>
  <r>
    <s v="CUST028"/>
    <s v="Linda Brown"/>
    <x v="4"/>
    <x v="2"/>
    <x v="82"/>
    <n v="7"/>
    <n v="0.1"/>
    <d v="2024-09-01T00:00:00"/>
    <x v="82"/>
    <n v="130.28"/>
  </r>
  <r>
    <s v="CUST005"/>
    <s v="Lisa Davis"/>
    <x v="4"/>
    <x v="0"/>
    <x v="83"/>
    <n v="7"/>
    <n v="0.05"/>
    <d v="2024-09-01T00:00:00"/>
    <x v="83"/>
    <n v="47.58"/>
  </r>
  <r>
    <s v="CUST015"/>
    <s v="David Thomas"/>
    <x v="0"/>
    <x v="1"/>
    <x v="84"/>
    <n v="4"/>
    <n v="0.1"/>
    <d v="2024-09-09T00:00:00"/>
    <x v="84"/>
    <n v="41.8"/>
  </r>
  <r>
    <s v="CUST003"/>
    <s v="James Davis"/>
    <x v="2"/>
    <x v="2"/>
    <x v="85"/>
    <n v="17"/>
    <n v="0"/>
    <d v="2024-09-09T00:00:00"/>
    <x v="85"/>
    <n v="457.2"/>
  </r>
  <r>
    <s v="CUST023"/>
    <s v="David Brown"/>
    <x v="1"/>
    <x v="3"/>
    <x v="86"/>
    <n v="9"/>
    <n v="0"/>
    <d v="2024-09-11T00:00:00"/>
    <x v="86"/>
    <n v="135.07"/>
  </r>
  <r>
    <s v="CUST004"/>
    <s v="Sarah Davis"/>
    <x v="0"/>
    <x v="4"/>
    <x v="87"/>
    <n v="19"/>
    <n v="0"/>
    <d v="2024-09-12T00:00:00"/>
    <x v="87"/>
    <n v="125.32"/>
  </r>
  <r>
    <s v="CUST023"/>
    <s v="James Wilson"/>
    <x v="1"/>
    <x v="4"/>
    <x v="88"/>
    <n v="11"/>
    <n v="0.15"/>
    <d v="2024-09-14T00:00:00"/>
    <x v="88"/>
    <n v="67.319999999999993"/>
  </r>
  <r>
    <s v="CUST022"/>
    <s v="Linda Brown"/>
    <x v="2"/>
    <x v="0"/>
    <x v="89"/>
    <n v="16"/>
    <n v="0.05"/>
    <d v="2024-09-14T00:00:00"/>
    <x v="89"/>
    <n v="101.1"/>
  </r>
  <r>
    <s v="CUST007"/>
    <s v="Emma Taylor"/>
    <x v="0"/>
    <x v="3"/>
    <x v="90"/>
    <n v="4"/>
    <n v="0.1"/>
    <d v="2024-09-16T00:00:00"/>
    <x v="90"/>
    <n v="40.729999999999997"/>
  </r>
  <r>
    <s v="CUST013"/>
    <s v="Robert Anderson"/>
    <x v="2"/>
    <x v="3"/>
    <x v="91"/>
    <n v="1"/>
    <n v="0.1"/>
    <d v="2024-09-17T00:00:00"/>
    <x v="91"/>
    <n v="126.16"/>
  </r>
  <r>
    <s v="CUST027"/>
    <s v="Emma Davis"/>
    <x v="1"/>
    <x v="4"/>
    <x v="92"/>
    <n v="13"/>
    <n v="0.15"/>
    <d v="2024-09-17T00:00:00"/>
    <x v="92"/>
    <n v="112.83"/>
  </r>
  <r>
    <s v="CUST003"/>
    <s v="James Wilson"/>
    <x v="0"/>
    <x v="2"/>
    <x v="93"/>
    <n v="19"/>
    <n v="0.2"/>
    <d v="2024-09-18T00:00:00"/>
    <x v="93"/>
    <n v="247.21"/>
  </r>
  <r>
    <s v="CUST018"/>
    <s v="Mary Jackson"/>
    <x v="2"/>
    <x v="0"/>
    <x v="94"/>
    <n v="2"/>
    <n v="0.15"/>
    <d v="2024-09-22T00:00:00"/>
    <x v="94"/>
    <n v="128.80000000000001"/>
  </r>
  <r>
    <s v="CUST020"/>
    <s v="James Taylor"/>
    <x v="2"/>
    <x v="0"/>
    <x v="95"/>
    <n v="6"/>
    <n v="0"/>
    <d v="2024-09-23T00:00:00"/>
    <x v="95"/>
    <n v="219.07"/>
  </r>
  <r>
    <s v="CUST029"/>
    <s v="Emma Wilson"/>
    <x v="0"/>
    <x v="3"/>
    <x v="96"/>
    <n v="7"/>
    <n v="0.15"/>
    <d v="2024-09-24T00:00:00"/>
    <x v="96"/>
    <n v="113.28"/>
  </r>
  <r>
    <s v="CUST021"/>
    <s v="James Wilson"/>
    <x v="3"/>
    <x v="1"/>
    <x v="97"/>
    <n v="11"/>
    <n v="0.1"/>
    <d v="2024-09-24T00:00:00"/>
    <x v="97"/>
    <n v="258.91000000000003"/>
  </r>
  <r>
    <s v="CUST017"/>
    <s v="Sarah Davis"/>
    <x v="0"/>
    <x v="4"/>
    <x v="98"/>
    <n v="10"/>
    <n v="0.2"/>
    <d v="2024-09-29T00:00:00"/>
    <x v="98"/>
    <n v="163.28"/>
  </r>
  <r>
    <s v="CUST003"/>
    <s v="James Wilson"/>
    <x v="4"/>
    <x v="1"/>
    <x v="99"/>
    <n v="12"/>
    <n v="0"/>
    <d v="2024-09-29T00:00:00"/>
    <x v="99"/>
    <n v="221.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James Davis"/>
    <s v="West"/>
    <x v="0"/>
    <n v="1036.0899999999999"/>
    <n v="4"/>
    <n v="0.2"/>
    <d v="2024-04-10T00:00:00"/>
    <n v="331.55"/>
  </r>
  <r>
    <x v="1"/>
    <s v="Robert Anderson"/>
    <s v="West"/>
    <x v="1"/>
    <n v="1101.28"/>
    <n v="3"/>
    <n v="0.2"/>
    <d v="2024-04-11T00:00:00"/>
    <n v="440.51"/>
  </r>
  <r>
    <x v="2"/>
    <s v="James Taylor"/>
    <s v="East"/>
    <x v="0"/>
    <n v="713.34"/>
    <n v="17"/>
    <n v="0"/>
    <d v="2024-04-14T00:00:00"/>
    <n v="285.33999999999997"/>
  </r>
  <r>
    <x v="3"/>
    <s v="Robert Anderson"/>
    <s v="South"/>
    <x v="2"/>
    <n v="760.93"/>
    <n v="4"/>
    <n v="0.15"/>
    <d v="2024-04-14T00:00:00"/>
    <n v="161.69999999999999"/>
  </r>
  <r>
    <x v="4"/>
    <s v="James Wilson"/>
    <s v="North"/>
    <x v="0"/>
    <n v="847"/>
    <n v="12"/>
    <n v="0.2"/>
    <d v="2024-04-15T00:00:00"/>
    <n v="271.04000000000002"/>
  </r>
  <r>
    <x v="5"/>
    <s v="Michael Anderson"/>
    <s v="North"/>
    <x v="3"/>
    <n v="965.64"/>
    <n v="8"/>
    <n v="0.1"/>
    <d v="2024-04-16T00:00:00"/>
    <n v="304.18"/>
  </r>
  <r>
    <x v="6"/>
    <s v="Linda Wilson"/>
    <s v="West"/>
    <x v="2"/>
    <n v="1317.53"/>
    <n v="12"/>
    <n v="0.05"/>
    <d v="2024-04-16T00:00:00"/>
    <n v="312.91000000000003"/>
  </r>
  <r>
    <x v="7"/>
    <s v="Mary Davis"/>
    <s v="East"/>
    <x v="3"/>
    <n v="1074.47"/>
    <n v="6"/>
    <n v="0.2"/>
    <d v="2024-04-19T00:00:00"/>
    <n v="300.85000000000002"/>
  </r>
  <r>
    <x v="8"/>
    <s v="Linda Jackson"/>
    <s v="Central"/>
    <x v="0"/>
    <n v="501.54"/>
    <n v="11"/>
    <n v="0.05"/>
    <d v="2024-04-19T00:00:00"/>
    <n v="190.59"/>
  </r>
  <r>
    <x v="9"/>
    <s v="David Thomas"/>
    <s v="Central"/>
    <x v="1"/>
    <n v="737.31"/>
    <n v="2"/>
    <n v="0.05"/>
    <d v="2024-04-19T00:00:00"/>
    <n v="350.22"/>
  </r>
  <r>
    <x v="10"/>
    <s v="Emma Davis"/>
    <s v="West"/>
    <x v="4"/>
    <n v="1572.82"/>
    <n v="6"/>
    <n v="0.05"/>
    <d v="2024-04-20T00:00:00"/>
    <n v="672.38"/>
  </r>
  <r>
    <x v="10"/>
    <s v="David Thomas"/>
    <s v="Central"/>
    <x v="0"/>
    <n v="1343.13"/>
    <n v="14"/>
    <n v="0.15"/>
    <d v="2024-04-22T00:00:00"/>
    <n v="456.66"/>
  </r>
  <r>
    <x v="5"/>
    <s v="Michael Anderson"/>
    <s v="Central"/>
    <x v="0"/>
    <n v="1191.58"/>
    <n v="14"/>
    <n v="0.05"/>
    <d v="2024-04-24T00:00:00"/>
    <n v="452.8"/>
  </r>
  <r>
    <x v="11"/>
    <s v="Robert Anderson"/>
    <s v="West"/>
    <x v="3"/>
    <n v="822.28"/>
    <n v="7"/>
    <n v="0.05"/>
    <d v="2024-04-24T00:00:00"/>
    <n v="273.41000000000003"/>
  </r>
  <r>
    <x v="12"/>
    <s v="David Smith"/>
    <s v="North"/>
    <x v="3"/>
    <n v="521.66999999999996"/>
    <n v="15"/>
    <n v="0.15"/>
    <d v="2024-04-27T00:00:00"/>
    <n v="155.19999999999999"/>
  </r>
  <r>
    <x v="3"/>
    <s v="Sarah Anderson"/>
    <s v="South"/>
    <x v="2"/>
    <n v="1502.93"/>
    <n v="14"/>
    <n v="0.2"/>
    <d v="2024-04-28T00:00:00"/>
    <n v="300.58999999999997"/>
  </r>
  <r>
    <x v="13"/>
    <s v="Robert Anderson"/>
    <s v="South"/>
    <x v="0"/>
    <n v="877.58"/>
    <n v="10"/>
    <n v="0.15"/>
    <d v="2024-04-29T00:00:00"/>
    <n v="298.38"/>
  </r>
  <r>
    <x v="6"/>
    <s v="Lisa Thomas"/>
    <s v="West"/>
    <x v="0"/>
    <n v="636.70000000000005"/>
    <n v="4"/>
    <n v="0.2"/>
    <d v="2024-04-29T00:00:00"/>
    <n v="203.74"/>
  </r>
  <r>
    <x v="14"/>
    <s v="Mary Jackson"/>
    <s v="West"/>
    <x v="0"/>
    <n v="1506.14"/>
    <n v="13"/>
    <n v="0.2"/>
    <d v="2024-04-30T00:00:00"/>
    <n v="481.96"/>
  </r>
  <r>
    <x v="7"/>
    <s v="Mary Davis"/>
    <s v="Central"/>
    <x v="2"/>
    <n v="645.02"/>
    <n v="4"/>
    <n v="0"/>
    <d v="2024-05-02T00:00:00"/>
    <n v="161.26"/>
  </r>
  <r>
    <x v="5"/>
    <s v="Lisa Davis"/>
    <s v="South"/>
    <x v="1"/>
    <n v="953.3"/>
    <n v="11"/>
    <n v="0"/>
    <d v="2024-05-03T00:00:00"/>
    <n v="476.65"/>
  </r>
  <r>
    <x v="15"/>
    <s v="Robert Anderson"/>
    <s v="North"/>
    <x v="2"/>
    <n v="388.56"/>
    <n v="14"/>
    <n v="0.15"/>
    <d v="2024-05-04T00:00:00"/>
    <n v="82.57"/>
  </r>
  <r>
    <x v="0"/>
    <s v="Mary Davis"/>
    <s v="West"/>
    <x v="0"/>
    <n v="743.17"/>
    <n v="9"/>
    <n v="0"/>
    <d v="2024-05-04T00:00:00"/>
    <n v="297.27"/>
  </r>
  <r>
    <x v="11"/>
    <s v="Mary Davis"/>
    <s v="Central"/>
    <x v="2"/>
    <n v="706.37"/>
    <n v="6"/>
    <n v="0"/>
    <d v="2024-05-04T00:00:00"/>
    <n v="176.59"/>
  </r>
  <r>
    <x v="1"/>
    <s v="Mary Davis"/>
    <s v="Central"/>
    <x v="4"/>
    <n v="925.31"/>
    <n v="8"/>
    <n v="0.1"/>
    <d v="2024-05-06T00:00:00"/>
    <n v="374.75"/>
  </r>
  <r>
    <x v="9"/>
    <s v="Linda Brown"/>
    <s v="South"/>
    <x v="2"/>
    <n v="1173.1199999999999"/>
    <n v="18"/>
    <n v="0"/>
    <d v="2024-05-06T00:00:00"/>
    <n v="293.27999999999997"/>
  </r>
  <r>
    <x v="4"/>
    <s v="John Brown"/>
    <s v="North"/>
    <x v="3"/>
    <n v="675.54"/>
    <n v="17"/>
    <n v="0"/>
    <d v="2024-05-08T00:00:00"/>
    <n v="236.44"/>
  </r>
  <r>
    <x v="5"/>
    <s v="Robert Anderson"/>
    <s v="Central"/>
    <x v="0"/>
    <n v="939.09"/>
    <n v="2"/>
    <n v="0.05"/>
    <d v="2024-05-10T00:00:00"/>
    <n v="356.85"/>
  </r>
  <r>
    <x v="16"/>
    <s v="Linda Taylor"/>
    <s v="East"/>
    <x v="4"/>
    <n v="983.34"/>
    <n v="19"/>
    <n v="0.1"/>
    <d v="2024-05-14T00:00:00"/>
    <n v="398.25"/>
  </r>
  <r>
    <x v="16"/>
    <s v="James Wilson"/>
    <s v="South"/>
    <x v="2"/>
    <n v="801.21"/>
    <n v="3"/>
    <n v="0.2"/>
    <d v="2024-05-14T00:00:00"/>
    <n v="160.24"/>
  </r>
  <r>
    <x v="17"/>
    <s v="David Brown"/>
    <s v="North"/>
    <x v="2"/>
    <n v="1450.71"/>
    <n v="5"/>
    <n v="0.1"/>
    <d v="2024-05-15T00:00:00"/>
    <n v="326.41000000000003"/>
  </r>
  <r>
    <x v="15"/>
    <s v="David Davis"/>
    <s v="Central"/>
    <x v="0"/>
    <n v="1023.21"/>
    <n v="18"/>
    <n v="0.05"/>
    <d v="2024-05-16T00:00:00"/>
    <n v="388.82"/>
  </r>
  <r>
    <x v="6"/>
    <s v="Mary Jackson"/>
    <s v="West"/>
    <x v="3"/>
    <n v="853.72"/>
    <n v="5"/>
    <n v="0.15"/>
    <d v="2024-05-16T00:00:00"/>
    <n v="253.98"/>
  </r>
  <r>
    <x v="18"/>
    <s v="Sarah Anderson"/>
    <s v="South"/>
    <x v="2"/>
    <n v="967.89"/>
    <n v="10"/>
    <n v="0.1"/>
    <d v="2024-05-17T00:00:00"/>
    <n v="217.78"/>
  </r>
  <r>
    <x v="19"/>
    <s v="Linda Taylor"/>
    <s v="North"/>
    <x v="4"/>
    <n v="1200.9000000000001"/>
    <n v="14"/>
    <n v="0.05"/>
    <d v="2024-05-17T00:00:00"/>
    <n v="513.38"/>
  </r>
  <r>
    <x v="1"/>
    <s v="Michael Anderson"/>
    <s v="West"/>
    <x v="0"/>
    <n v="472.38"/>
    <n v="12"/>
    <n v="0.2"/>
    <d v="2024-05-17T00:00:00"/>
    <n v="151.16"/>
  </r>
  <r>
    <x v="0"/>
    <s v="David Brown"/>
    <s v="East"/>
    <x v="4"/>
    <n v="840.92"/>
    <n v="9"/>
    <n v="0.05"/>
    <d v="2024-05-17T00:00:00"/>
    <n v="359.49"/>
  </r>
  <r>
    <x v="16"/>
    <s v="Lisa Davis"/>
    <s v="Central"/>
    <x v="3"/>
    <n v="1410.06"/>
    <n v="11"/>
    <n v="0.05"/>
    <d v="2024-05-22T00:00:00"/>
    <n v="468.84"/>
  </r>
  <r>
    <x v="13"/>
    <s v="Mary Wilson"/>
    <s v="Central"/>
    <x v="3"/>
    <n v="773.09"/>
    <n v="13"/>
    <n v="0.15"/>
    <d v="2024-05-22T00:00:00"/>
    <n v="229.99"/>
  </r>
  <r>
    <x v="20"/>
    <s v="Emma Wilson"/>
    <s v="East"/>
    <x v="0"/>
    <n v="580.42999999999995"/>
    <n v="19"/>
    <n v="0.15"/>
    <d v="2024-05-23T00:00:00"/>
    <n v="197.35"/>
  </r>
  <r>
    <x v="3"/>
    <s v="David Smith"/>
    <s v="South"/>
    <x v="0"/>
    <n v="1151.21"/>
    <n v="15"/>
    <n v="0.1"/>
    <d v="2024-06-02T00:00:00"/>
    <n v="414.44"/>
  </r>
  <r>
    <x v="16"/>
    <s v="James Wilson"/>
    <s v="Central"/>
    <x v="4"/>
    <n v="1025.98"/>
    <n v="5"/>
    <n v="0.2"/>
    <d v="2024-06-04T00:00:00"/>
    <n v="369.35"/>
  </r>
  <r>
    <x v="11"/>
    <s v="David Davis"/>
    <s v="East"/>
    <x v="4"/>
    <n v="556.41999999999996"/>
    <n v="11"/>
    <n v="0.15"/>
    <d v="2024-06-04T00:00:00"/>
    <n v="212.83"/>
  </r>
  <r>
    <x v="18"/>
    <s v="James Wilson"/>
    <s v="Central"/>
    <x v="0"/>
    <n v="840.85"/>
    <n v="19"/>
    <n v="0.1"/>
    <d v="2024-06-05T00:00:00"/>
    <n v="302.70999999999998"/>
  </r>
  <r>
    <x v="7"/>
    <s v="Emma Wilson"/>
    <s v="North"/>
    <x v="3"/>
    <n v="1227.25"/>
    <n v="12"/>
    <n v="0.15"/>
    <d v="2024-06-05T00:00:00"/>
    <n v="365.11"/>
  </r>
  <r>
    <x v="2"/>
    <s v="Linda Davis"/>
    <s v="Central"/>
    <x v="2"/>
    <n v="856.7"/>
    <n v="2"/>
    <n v="0"/>
    <d v="2024-06-06T00:00:00"/>
    <n v="214.18"/>
  </r>
  <r>
    <x v="17"/>
    <s v="David Davis"/>
    <s v="Central"/>
    <x v="4"/>
    <n v="1225.42"/>
    <n v="8"/>
    <n v="0.15"/>
    <d v="2024-06-06T00:00:00"/>
    <n v="468.72"/>
  </r>
  <r>
    <x v="21"/>
    <s v="Mary Davis"/>
    <s v="North"/>
    <x v="4"/>
    <n v="1001.57"/>
    <n v="12"/>
    <n v="0"/>
    <d v="2024-06-07T00:00:00"/>
    <n v="450.71"/>
  </r>
  <r>
    <x v="18"/>
    <s v="Michael Anderson"/>
    <s v="East"/>
    <x v="3"/>
    <n v="1186.8499999999999"/>
    <n v="19"/>
    <n v="0.2"/>
    <d v="2024-06-08T00:00:00"/>
    <n v="332.32"/>
  </r>
  <r>
    <x v="13"/>
    <s v="John Brown"/>
    <s v="South"/>
    <x v="2"/>
    <n v="775.45"/>
    <n v="6"/>
    <n v="0.1"/>
    <d v="2024-06-14T00:00:00"/>
    <n v="174.48"/>
  </r>
  <r>
    <x v="5"/>
    <s v="Linda Jackson"/>
    <s v="South"/>
    <x v="2"/>
    <n v="1021.47"/>
    <n v="6"/>
    <n v="0.05"/>
    <d v="2024-06-18T00:00:00"/>
    <n v="242.6"/>
  </r>
  <r>
    <x v="19"/>
    <s v="James Wilson"/>
    <s v="South"/>
    <x v="1"/>
    <n v="1226.6199999999999"/>
    <n v="7"/>
    <n v="0.1"/>
    <d v="2024-06-20T00:00:00"/>
    <n v="551.98"/>
  </r>
  <r>
    <x v="4"/>
    <s v="Sarah Davis"/>
    <s v="South"/>
    <x v="3"/>
    <n v="1086.93"/>
    <n v="2"/>
    <n v="0"/>
    <d v="2024-06-21T00:00:00"/>
    <n v="380.43"/>
  </r>
  <r>
    <x v="22"/>
    <s v="Lisa Davis"/>
    <s v="West"/>
    <x v="0"/>
    <n v="942.9"/>
    <n v="18"/>
    <n v="0.1"/>
    <d v="2024-06-23T00:00:00"/>
    <n v="339.44"/>
  </r>
  <r>
    <x v="8"/>
    <s v="Emma Davis"/>
    <s v="North"/>
    <x v="2"/>
    <n v="818.8"/>
    <n v="15"/>
    <n v="0.15"/>
    <d v="2024-06-25T00:00:00"/>
    <n v="173.99"/>
  </r>
  <r>
    <x v="3"/>
    <s v="Robert Anderson"/>
    <s v="South"/>
    <x v="3"/>
    <n v="919.04"/>
    <n v="10"/>
    <n v="0.2"/>
    <d v="2024-06-25T00:00:00"/>
    <n v="257.33"/>
  </r>
  <r>
    <x v="4"/>
    <s v="Emma Taylor"/>
    <s v="Central"/>
    <x v="0"/>
    <n v="973.26"/>
    <n v="11"/>
    <n v="0"/>
    <d v="2024-06-27T00:00:00"/>
    <n v="389.3"/>
  </r>
  <r>
    <x v="12"/>
    <s v="Sarah Davis"/>
    <s v="North"/>
    <x v="2"/>
    <n v="741.61"/>
    <n v="1"/>
    <n v="0.2"/>
    <d v="2024-06-28T00:00:00"/>
    <n v="148.32"/>
  </r>
  <r>
    <x v="23"/>
    <s v="Emma Davis"/>
    <s v="North"/>
    <x v="0"/>
    <n v="1248.82"/>
    <n v="2"/>
    <n v="0.1"/>
    <d v="2024-06-30T00:00:00"/>
    <n v="449.58"/>
  </r>
  <r>
    <x v="1"/>
    <s v="Mary Wilson"/>
    <s v="West"/>
    <x v="1"/>
    <n v="1360.36"/>
    <n v="17"/>
    <n v="0"/>
    <d v="2024-06-30T00:00:00"/>
    <n v="680.18"/>
  </r>
  <r>
    <x v="18"/>
    <s v="Mary Davis"/>
    <s v="East"/>
    <x v="0"/>
    <n v="1383.3"/>
    <n v="8"/>
    <n v="0.1"/>
    <d v="2024-07-05T00:00:00"/>
    <n v="497.99"/>
  </r>
  <r>
    <x v="9"/>
    <s v="David Brown"/>
    <s v="Central"/>
    <x v="4"/>
    <n v="488.99"/>
    <n v="9"/>
    <n v="0"/>
    <d v="2024-07-06T00:00:00"/>
    <n v="220.05"/>
  </r>
  <r>
    <x v="7"/>
    <s v="Mary Davis"/>
    <s v="East"/>
    <x v="3"/>
    <n v="933.71"/>
    <n v="17"/>
    <n v="0.1"/>
    <d v="2024-07-08T00:00:00"/>
    <n v="294.12"/>
  </r>
  <r>
    <x v="23"/>
    <s v="James Davis"/>
    <s v="West"/>
    <x v="2"/>
    <n v="1005.53"/>
    <n v="17"/>
    <n v="0.2"/>
    <d v="2024-07-08T00:00:00"/>
    <n v="201.11"/>
  </r>
  <r>
    <x v="12"/>
    <s v="Emma Wilson"/>
    <s v="South"/>
    <x v="2"/>
    <n v="1100.0999999999999"/>
    <n v="5"/>
    <n v="0.05"/>
    <d v="2024-07-09T00:00:00"/>
    <n v="261.27"/>
  </r>
  <r>
    <x v="23"/>
    <s v="James Wilson"/>
    <s v="North"/>
    <x v="3"/>
    <n v="1034.7"/>
    <n v="15"/>
    <n v="0.15"/>
    <d v="2024-07-14T00:00:00"/>
    <n v="307.82"/>
  </r>
  <r>
    <x v="22"/>
    <s v="Mary Davis"/>
    <s v="South"/>
    <x v="0"/>
    <n v="876.44"/>
    <n v="12"/>
    <n v="0.05"/>
    <d v="2024-07-15T00:00:00"/>
    <n v="333.05"/>
  </r>
  <r>
    <x v="24"/>
    <s v="David Brown"/>
    <s v="West"/>
    <x v="3"/>
    <n v="1371.34"/>
    <n v="5"/>
    <n v="0.05"/>
    <d v="2024-07-15T00:00:00"/>
    <n v="455.97"/>
  </r>
  <r>
    <x v="18"/>
    <s v="Mary Jackson"/>
    <s v="North"/>
    <x v="2"/>
    <n v="1020.26"/>
    <n v="11"/>
    <n v="0.05"/>
    <d v="2024-07-21T00:00:00"/>
    <n v="242.31"/>
  </r>
  <r>
    <x v="13"/>
    <s v="James Davis"/>
    <s v="Central"/>
    <x v="4"/>
    <n v="804.81"/>
    <n v="1"/>
    <n v="0.05"/>
    <d v="2024-07-29T00:00:00"/>
    <n v="344.06"/>
  </r>
  <r>
    <x v="4"/>
    <s v="David Brown"/>
    <s v="Central"/>
    <x v="2"/>
    <n v="608.66"/>
    <n v="1"/>
    <n v="0.05"/>
    <d v="2024-07-30T00:00:00"/>
    <n v="144.56"/>
  </r>
  <r>
    <x v="24"/>
    <s v="Linda Moore"/>
    <s v="South"/>
    <x v="4"/>
    <n v="981.2"/>
    <n v="19"/>
    <n v="0"/>
    <d v="2024-07-31T00:00:00"/>
    <n v="441.54"/>
  </r>
  <r>
    <x v="25"/>
    <s v="David Brown"/>
    <s v="East"/>
    <x v="2"/>
    <n v="539.77"/>
    <n v="10"/>
    <n v="0.15"/>
    <d v="2024-08-05T00:00:00"/>
    <n v="114.7"/>
  </r>
  <r>
    <x v="1"/>
    <s v="David Anderson"/>
    <s v="South"/>
    <x v="0"/>
    <n v="804.45"/>
    <n v="5"/>
    <n v="0.2"/>
    <d v="2024-08-05T00:00:00"/>
    <n v="257.42"/>
  </r>
  <r>
    <x v="25"/>
    <s v="Emma Davis"/>
    <s v="West"/>
    <x v="2"/>
    <n v="1526.6"/>
    <n v="13"/>
    <n v="0.2"/>
    <d v="2024-08-08T00:00:00"/>
    <n v="305.32"/>
  </r>
  <r>
    <x v="1"/>
    <s v="Linda Wilson"/>
    <s v="West"/>
    <x v="2"/>
    <n v="1215.26"/>
    <n v="5"/>
    <n v="0.15"/>
    <d v="2024-08-09T00:00:00"/>
    <n v="258.24"/>
  </r>
  <r>
    <x v="3"/>
    <s v="Linda Taylor"/>
    <s v="Central"/>
    <x v="3"/>
    <n v="1261.3399999999999"/>
    <n v="3"/>
    <n v="0"/>
    <d v="2024-08-15T00:00:00"/>
    <n v="441.47"/>
  </r>
  <r>
    <x v="26"/>
    <s v="Lisa Thomas"/>
    <s v="North"/>
    <x v="3"/>
    <n v="518.07000000000005"/>
    <n v="7"/>
    <n v="0.05"/>
    <d v="2024-08-18T00:00:00"/>
    <n v="172.26"/>
  </r>
  <r>
    <x v="7"/>
    <s v="Linda Wilson"/>
    <s v="West"/>
    <x v="4"/>
    <n v="1111.3399999999999"/>
    <n v="1"/>
    <n v="0"/>
    <d v="2024-08-19T00:00:00"/>
    <n v="500.1"/>
  </r>
  <r>
    <x v="4"/>
    <s v="Mary Davis"/>
    <s v="East"/>
    <x v="1"/>
    <n v="1291.47"/>
    <n v="18"/>
    <n v="0.1"/>
    <d v="2024-08-22T00:00:00"/>
    <n v="581.16"/>
  </r>
  <r>
    <x v="5"/>
    <s v="David Brown"/>
    <s v="North"/>
    <x v="0"/>
    <n v="679.71"/>
    <n v="19"/>
    <n v="0"/>
    <d v="2024-08-30T00:00:00"/>
    <n v="271.88"/>
  </r>
  <r>
    <x v="24"/>
    <s v="Linda Jackson"/>
    <s v="East"/>
    <x v="3"/>
    <n v="1143.69"/>
    <n v="17"/>
    <n v="0"/>
    <d v="2024-08-30T00:00:00"/>
    <n v="400.29"/>
  </r>
  <r>
    <x v="16"/>
    <s v="Linda Brown"/>
    <s v="Central"/>
    <x v="2"/>
    <n v="790.08"/>
    <n v="7"/>
    <n v="0.1"/>
    <d v="2024-09-01T00:00:00"/>
    <n v="177.77"/>
  </r>
  <r>
    <x v="3"/>
    <s v="Lisa Davis"/>
    <s v="Central"/>
    <x v="0"/>
    <n v="1070.68"/>
    <n v="7"/>
    <n v="0.05"/>
    <d v="2024-09-01T00:00:00"/>
    <n v="406.86"/>
  </r>
  <r>
    <x v="19"/>
    <s v="David Thomas"/>
    <s v="West"/>
    <x v="1"/>
    <n v="1168.8900000000001"/>
    <n v="4"/>
    <n v="0.1"/>
    <d v="2024-09-09T00:00:00"/>
    <n v="526"/>
  </r>
  <r>
    <x v="23"/>
    <s v="James Davis"/>
    <s v="South"/>
    <x v="2"/>
    <n v="1335.87"/>
    <n v="17"/>
    <n v="0"/>
    <d v="2024-09-09T00:00:00"/>
    <n v="333.97"/>
  </r>
  <r>
    <x v="11"/>
    <s v="David Brown"/>
    <s v="East"/>
    <x v="3"/>
    <n v="873.7"/>
    <n v="9"/>
    <n v="0"/>
    <d v="2024-09-11T00:00:00"/>
    <n v="305.8"/>
  </r>
  <r>
    <x v="26"/>
    <s v="Sarah Davis"/>
    <s v="West"/>
    <x v="4"/>
    <n v="1443.98"/>
    <n v="19"/>
    <n v="0"/>
    <d v="2024-09-12T00:00:00"/>
    <n v="649.79"/>
  </r>
  <r>
    <x v="11"/>
    <s v="James Wilson"/>
    <s v="East"/>
    <x v="4"/>
    <n v="1154.33"/>
    <n v="11"/>
    <n v="0.15"/>
    <d v="2024-09-14T00:00:00"/>
    <n v="441.53"/>
  </r>
  <r>
    <x v="15"/>
    <s v="Linda Brown"/>
    <s v="South"/>
    <x v="0"/>
    <n v="1264.49"/>
    <n v="16"/>
    <n v="0.05"/>
    <d v="2024-09-14T00:00:00"/>
    <n v="480.51"/>
  </r>
  <r>
    <x v="5"/>
    <s v="Emma Taylor"/>
    <s v="West"/>
    <x v="3"/>
    <n v="1101.55"/>
    <n v="4"/>
    <n v="0.1"/>
    <d v="2024-09-16T00:00:00"/>
    <n v="346.99"/>
  </r>
  <r>
    <x v="27"/>
    <s v="Robert Anderson"/>
    <s v="South"/>
    <x v="3"/>
    <n v="727.73"/>
    <n v="1"/>
    <n v="0.1"/>
    <d v="2024-09-17T00:00:00"/>
    <n v="229.23"/>
  </r>
  <r>
    <x v="28"/>
    <s v="Emma Davis"/>
    <s v="East"/>
    <x v="4"/>
    <n v="875.41"/>
    <n v="13"/>
    <n v="0.15"/>
    <d v="2024-09-17T00:00:00"/>
    <n v="334.84"/>
  </r>
  <r>
    <x v="23"/>
    <s v="James Wilson"/>
    <s v="West"/>
    <x v="2"/>
    <n v="1158.94"/>
    <n v="19"/>
    <n v="0.2"/>
    <d v="2024-09-18T00:00:00"/>
    <n v="231.79"/>
  </r>
  <r>
    <x v="29"/>
    <s v="Mary Jackson"/>
    <s v="South"/>
    <x v="0"/>
    <n v="966.3"/>
    <n v="2"/>
    <n v="0.15"/>
    <d v="2024-09-22T00:00:00"/>
    <n v="328.54"/>
  </r>
  <r>
    <x v="24"/>
    <s v="James Taylor"/>
    <s v="South"/>
    <x v="0"/>
    <n v="917.48"/>
    <n v="6"/>
    <n v="0"/>
    <d v="2024-09-23T00:00:00"/>
    <n v="366.99"/>
  </r>
  <r>
    <x v="12"/>
    <s v="Emma Wilson"/>
    <s v="West"/>
    <x v="3"/>
    <n v="1172.97"/>
    <n v="7"/>
    <n v="0.15"/>
    <d v="2024-09-24T00:00:00"/>
    <n v="348.96"/>
  </r>
  <r>
    <x v="18"/>
    <s v="James Wilson"/>
    <s v="North"/>
    <x v="1"/>
    <n v="1205.82"/>
    <n v="11"/>
    <n v="0.1"/>
    <d v="2024-09-24T00:00:00"/>
    <n v="542.62"/>
  </r>
  <r>
    <x v="2"/>
    <s v="Sarah Davis"/>
    <s v="West"/>
    <x v="4"/>
    <n v="826.93"/>
    <n v="10"/>
    <n v="0.2"/>
    <d v="2024-09-29T00:00:00"/>
    <n v="297.69"/>
  </r>
  <r>
    <x v="23"/>
    <s v="James Wilson"/>
    <s v="Central"/>
    <x v="1"/>
    <n v="902.19"/>
    <n v="12"/>
    <n v="0"/>
    <d v="2024-09-29T00:00:00"/>
    <n v="451.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Books"/>
    <n v="1036.0899999999999"/>
  </r>
  <r>
    <x v="0"/>
    <s v="Clothing"/>
    <n v="1101.28"/>
  </r>
  <r>
    <x v="1"/>
    <s v="Books"/>
    <n v="713.34"/>
  </r>
  <r>
    <x v="2"/>
    <s v="Electronics"/>
    <n v="760.93"/>
  </r>
  <r>
    <x v="3"/>
    <s v="Books"/>
    <n v="847"/>
  </r>
  <r>
    <x v="3"/>
    <s v="Furniture"/>
    <n v="965.64"/>
  </r>
  <r>
    <x v="0"/>
    <s v="Electronics"/>
    <n v="1317.53"/>
  </r>
  <r>
    <x v="1"/>
    <s v="Furniture"/>
    <n v="1074.47"/>
  </r>
  <r>
    <x v="4"/>
    <s v="Books"/>
    <n v="501.54"/>
  </r>
  <r>
    <x v="4"/>
    <s v="Clothing"/>
    <n v="737.31"/>
  </r>
  <r>
    <x v="0"/>
    <s v="Office Supplies"/>
    <n v="1572.82"/>
  </r>
  <r>
    <x v="4"/>
    <s v="Books"/>
    <n v="1343.13"/>
  </r>
  <r>
    <x v="4"/>
    <s v="Books"/>
    <n v="1191.58"/>
  </r>
  <r>
    <x v="0"/>
    <s v="Furniture"/>
    <n v="822.28"/>
  </r>
  <r>
    <x v="3"/>
    <s v="Furniture"/>
    <n v="521.66999999999996"/>
  </r>
  <r>
    <x v="2"/>
    <s v="Electronics"/>
    <n v="1502.93"/>
  </r>
  <r>
    <x v="2"/>
    <s v="Books"/>
    <n v="877.58"/>
  </r>
  <r>
    <x v="0"/>
    <s v="Books"/>
    <n v="636.70000000000005"/>
  </r>
  <r>
    <x v="0"/>
    <s v="Books"/>
    <n v="1506.14"/>
  </r>
  <r>
    <x v="4"/>
    <s v="Electronics"/>
    <n v="645.02"/>
  </r>
  <r>
    <x v="2"/>
    <s v="Clothing"/>
    <n v="953.3"/>
  </r>
  <r>
    <x v="3"/>
    <s v="Electronics"/>
    <n v="388.56"/>
  </r>
  <r>
    <x v="0"/>
    <s v="Books"/>
    <n v="743.17"/>
  </r>
  <r>
    <x v="4"/>
    <s v="Electronics"/>
    <n v="706.37"/>
  </r>
  <r>
    <x v="4"/>
    <s v="Office Supplies"/>
    <n v="925.31"/>
  </r>
  <r>
    <x v="2"/>
    <s v="Electronics"/>
    <n v="1173.1199999999999"/>
  </r>
  <r>
    <x v="3"/>
    <s v="Furniture"/>
    <n v="675.54"/>
  </r>
  <r>
    <x v="4"/>
    <s v="Books"/>
    <n v="939.09"/>
  </r>
  <r>
    <x v="1"/>
    <s v="Office Supplies"/>
    <n v="983.34"/>
  </r>
  <r>
    <x v="2"/>
    <s v="Electronics"/>
    <n v="801.21"/>
  </r>
  <r>
    <x v="3"/>
    <s v="Electronics"/>
    <n v="1450.71"/>
  </r>
  <r>
    <x v="4"/>
    <s v="Books"/>
    <n v="1023.21"/>
  </r>
  <r>
    <x v="0"/>
    <s v="Furniture"/>
    <n v="853.72"/>
  </r>
  <r>
    <x v="2"/>
    <s v="Electronics"/>
    <n v="967.89"/>
  </r>
  <r>
    <x v="3"/>
    <s v="Office Supplies"/>
    <n v="1200.9000000000001"/>
  </r>
  <r>
    <x v="0"/>
    <s v="Books"/>
    <n v="472.38"/>
  </r>
  <r>
    <x v="1"/>
    <s v="Office Supplies"/>
    <n v="840.92"/>
  </r>
  <r>
    <x v="4"/>
    <s v="Furniture"/>
    <n v="1410.06"/>
  </r>
  <r>
    <x v="4"/>
    <s v="Furniture"/>
    <n v="773.09"/>
  </r>
  <r>
    <x v="1"/>
    <s v="Books"/>
    <n v="580.42999999999995"/>
  </r>
  <r>
    <x v="2"/>
    <s v="Books"/>
    <n v="1151.21"/>
  </r>
  <r>
    <x v="4"/>
    <s v="Office Supplies"/>
    <n v="1025.98"/>
  </r>
  <r>
    <x v="1"/>
    <s v="Office Supplies"/>
    <n v="556.41999999999996"/>
  </r>
  <r>
    <x v="4"/>
    <s v="Books"/>
    <n v="840.85"/>
  </r>
  <r>
    <x v="3"/>
    <s v="Furniture"/>
    <n v="1227.25"/>
  </r>
  <r>
    <x v="4"/>
    <s v="Electronics"/>
    <n v="856.7"/>
  </r>
  <r>
    <x v="4"/>
    <s v="Office Supplies"/>
    <n v="1225.42"/>
  </r>
  <r>
    <x v="3"/>
    <s v="Office Supplies"/>
    <n v="1001.57"/>
  </r>
  <r>
    <x v="1"/>
    <s v="Furniture"/>
    <n v="1186.8499999999999"/>
  </r>
  <r>
    <x v="2"/>
    <s v="Electronics"/>
    <n v="775.45"/>
  </r>
  <r>
    <x v="2"/>
    <s v="Electronics"/>
    <n v="1021.47"/>
  </r>
  <r>
    <x v="2"/>
    <s v="Clothing"/>
    <n v="1226.6199999999999"/>
  </r>
  <r>
    <x v="2"/>
    <s v="Furniture"/>
    <n v="1086.93"/>
  </r>
  <r>
    <x v="0"/>
    <s v="Books"/>
    <n v="942.9"/>
  </r>
  <r>
    <x v="3"/>
    <s v="Electronics"/>
    <n v="818.8"/>
  </r>
  <r>
    <x v="2"/>
    <s v="Furniture"/>
    <n v="919.04"/>
  </r>
  <r>
    <x v="4"/>
    <s v="Books"/>
    <n v="973.26"/>
  </r>
  <r>
    <x v="3"/>
    <s v="Electronics"/>
    <n v="741.61"/>
  </r>
  <r>
    <x v="3"/>
    <s v="Books"/>
    <n v="1248.82"/>
  </r>
  <r>
    <x v="0"/>
    <s v="Clothing"/>
    <n v="1360.36"/>
  </r>
  <r>
    <x v="1"/>
    <s v="Books"/>
    <n v="1383.3"/>
  </r>
  <r>
    <x v="4"/>
    <s v="Office Supplies"/>
    <n v="488.99"/>
  </r>
  <r>
    <x v="1"/>
    <s v="Furniture"/>
    <n v="933.71"/>
  </r>
  <r>
    <x v="0"/>
    <s v="Electronics"/>
    <n v="1005.53"/>
  </r>
  <r>
    <x v="2"/>
    <s v="Electronics"/>
    <n v="1100.0999999999999"/>
  </r>
  <r>
    <x v="3"/>
    <s v="Furniture"/>
    <n v="1034.7"/>
  </r>
  <r>
    <x v="2"/>
    <s v="Books"/>
    <n v="876.44"/>
  </r>
  <r>
    <x v="0"/>
    <s v="Furniture"/>
    <n v="1371.34"/>
  </r>
  <r>
    <x v="3"/>
    <s v="Electronics"/>
    <n v="1020.26"/>
  </r>
  <r>
    <x v="4"/>
    <s v="Office Supplies"/>
    <n v="804.81"/>
  </r>
  <r>
    <x v="4"/>
    <s v="Electronics"/>
    <n v="608.66"/>
  </r>
  <r>
    <x v="2"/>
    <s v="Office Supplies"/>
    <n v="981.2"/>
  </r>
  <r>
    <x v="1"/>
    <s v="Electronics"/>
    <n v="539.77"/>
  </r>
  <r>
    <x v="2"/>
    <s v="Books"/>
    <n v="804.45"/>
  </r>
  <r>
    <x v="0"/>
    <s v="Electronics"/>
    <n v="1526.6"/>
  </r>
  <r>
    <x v="0"/>
    <s v="Electronics"/>
    <n v="1215.26"/>
  </r>
  <r>
    <x v="4"/>
    <s v="Furniture"/>
    <n v="1261.3399999999999"/>
  </r>
  <r>
    <x v="3"/>
    <s v="Furniture"/>
    <n v="518.07000000000005"/>
  </r>
  <r>
    <x v="0"/>
    <s v="Office Supplies"/>
    <n v="1111.3399999999999"/>
  </r>
  <r>
    <x v="1"/>
    <s v="Clothing"/>
    <n v="1291.47"/>
  </r>
  <r>
    <x v="3"/>
    <s v="Books"/>
    <n v="679.71"/>
  </r>
  <r>
    <x v="1"/>
    <s v="Furniture"/>
    <n v="1143.69"/>
  </r>
  <r>
    <x v="4"/>
    <s v="Electronics"/>
    <n v="790.08"/>
  </r>
  <r>
    <x v="4"/>
    <s v="Books"/>
    <n v="1070.68"/>
  </r>
  <r>
    <x v="0"/>
    <s v="Clothing"/>
    <n v="1168.8900000000001"/>
  </r>
  <r>
    <x v="2"/>
    <s v="Electronics"/>
    <n v="1335.87"/>
  </r>
  <r>
    <x v="1"/>
    <s v="Furniture"/>
    <n v="873.7"/>
  </r>
  <r>
    <x v="0"/>
    <s v="Office Supplies"/>
    <n v="1443.98"/>
  </r>
  <r>
    <x v="1"/>
    <s v="Office Supplies"/>
    <n v="1154.33"/>
  </r>
  <r>
    <x v="2"/>
    <s v="Books"/>
    <n v="1264.49"/>
  </r>
  <r>
    <x v="0"/>
    <s v="Furniture"/>
    <n v="1101.55"/>
  </r>
  <r>
    <x v="2"/>
    <s v="Furniture"/>
    <n v="727.73"/>
  </r>
  <r>
    <x v="1"/>
    <s v="Office Supplies"/>
    <n v="875.41"/>
  </r>
  <r>
    <x v="0"/>
    <s v="Electronics"/>
    <n v="1158.94"/>
  </r>
  <r>
    <x v="2"/>
    <s v="Books"/>
    <n v="966.3"/>
  </r>
  <r>
    <x v="2"/>
    <s v="Books"/>
    <n v="917.48"/>
  </r>
  <r>
    <x v="0"/>
    <s v="Furniture"/>
    <n v="1172.97"/>
  </r>
  <r>
    <x v="3"/>
    <s v="Clothing"/>
    <n v="1205.82"/>
  </r>
  <r>
    <x v="0"/>
    <s v="Office Supplies"/>
    <n v="826.93"/>
  </r>
  <r>
    <x v="4"/>
    <s v="Clothing"/>
    <n v="902.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6705CE-D12C-4BA8-BF42-AEA51173957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G10" firstHeaderRow="1" firstDataRow="2" firstDataCol="1"/>
  <pivotFields count="10">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showAll="0">
      <items count="101">
        <item x="21"/>
        <item x="35"/>
        <item x="61"/>
        <item x="8"/>
        <item x="77"/>
        <item x="14"/>
        <item x="72"/>
        <item x="42"/>
        <item x="39"/>
        <item x="70"/>
        <item x="17"/>
        <item x="19"/>
        <item x="26"/>
        <item x="80"/>
        <item x="23"/>
        <item x="2"/>
        <item x="91"/>
        <item x="9"/>
        <item x="57"/>
        <item x="22"/>
        <item x="3"/>
        <item x="38"/>
        <item x="49"/>
        <item x="82"/>
        <item x="29"/>
        <item x="73"/>
        <item x="69"/>
        <item x="54"/>
        <item x="13"/>
        <item x="98"/>
        <item x="43"/>
        <item x="36"/>
        <item x="4"/>
        <item x="32"/>
        <item x="45"/>
        <item x="86"/>
        <item x="92"/>
        <item x="66"/>
        <item x="16"/>
        <item x="99"/>
        <item x="95"/>
        <item x="55"/>
        <item x="24"/>
        <item x="62"/>
        <item x="27"/>
        <item x="53"/>
        <item x="20"/>
        <item x="5"/>
        <item x="94"/>
        <item x="33"/>
        <item x="56"/>
        <item x="71"/>
        <item x="28"/>
        <item x="47"/>
        <item x="63"/>
        <item x="68"/>
        <item x="50"/>
        <item x="31"/>
        <item x="41"/>
        <item x="65"/>
        <item x="0"/>
        <item x="83"/>
        <item x="7"/>
        <item x="52"/>
        <item x="64"/>
        <item x="1"/>
        <item x="90"/>
        <item x="78"/>
        <item x="81"/>
        <item x="40"/>
        <item x="88"/>
        <item x="93"/>
        <item x="84"/>
        <item x="96"/>
        <item x="25"/>
        <item x="48"/>
        <item x="12"/>
        <item x="34"/>
        <item x="97"/>
        <item x="75"/>
        <item x="46"/>
        <item x="51"/>
        <item x="44"/>
        <item x="58"/>
        <item x="76"/>
        <item x="89"/>
        <item x="79"/>
        <item x="6"/>
        <item x="85"/>
        <item x="11"/>
        <item x="59"/>
        <item x="67"/>
        <item x="60"/>
        <item x="37"/>
        <item x="87"/>
        <item x="30"/>
        <item x="15"/>
        <item x="18"/>
        <item x="74"/>
        <item x="10"/>
        <item t="default"/>
      </items>
    </pivotField>
    <pivotField showAll="0"/>
    <pivotField showAll="0"/>
    <pivotField numFmtId="14" showAll="0"/>
    <pivotField showAll="0">
      <items count="101">
        <item x="21"/>
        <item x="72"/>
        <item x="70"/>
        <item x="57"/>
        <item x="35"/>
        <item x="14"/>
        <item x="29"/>
        <item x="19"/>
        <item x="3"/>
        <item x="77"/>
        <item x="54"/>
        <item x="49"/>
        <item x="23"/>
        <item x="82"/>
        <item x="8"/>
        <item x="39"/>
        <item x="63"/>
        <item x="17"/>
        <item x="42"/>
        <item x="45"/>
        <item x="33"/>
        <item x="61"/>
        <item x="91"/>
        <item x="38"/>
        <item x="93"/>
        <item x="26"/>
        <item x="68"/>
        <item x="50"/>
        <item x="32"/>
        <item x="55"/>
        <item x="73"/>
        <item x="75"/>
        <item x="64"/>
        <item x="4"/>
        <item x="80"/>
        <item x="13"/>
        <item x="2"/>
        <item x="25"/>
        <item x="62"/>
        <item x="22"/>
        <item x="98"/>
        <item x="16"/>
        <item x="15"/>
        <item x="7"/>
        <item x="43"/>
        <item x="5"/>
        <item x="74"/>
        <item x="86"/>
        <item x="65"/>
        <item x="6"/>
        <item x="30"/>
        <item x="94"/>
        <item x="0"/>
        <item x="48"/>
        <item x="66"/>
        <item x="85"/>
        <item x="92"/>
        <item x="53"/>
        <item x="69"/>
        <item x="90"/>
        <item x="96"/>
        <item x="9"/>
        <item x="27"/>
        <item x="36"/>
        <item x="44"/>
        <item x="95"/>
        <item x="41"/>
        <item x="24"/>
        <item x="52"/>
        <item x="31"/>
        <item x="56"/>
        <item x="28"/>
        <item x="81"/>
        <item x="83"/>
        <item x="40"/>
        <item x="1"/>
        <item x="76"/>
        <item x="88"/>
        <item x="71"/>
        <item x="58"/>
        <item x="47"/>
        <item x="99"/>
        <item x="12"/>
        <item x="67"/>
        <item x="11"/>
        <item x="46"/>
        <item x="37"/>
        <item x="20"/>
        <item x="89"/>
        <item x="18"/>
        <item x="60"/>
        <item x="78"/>
        <item x="34"/>
        <item x="84"/>
        <item x="97"/>
        <item x="51"/>
        <item x="79"/>
        <item x="87"/>
        <item x="10"/>
        <item x="59"/>
        <item t="default"/>
      </items>
    </pivotField>
    <pivotField showAll="0"/>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dataField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7" format="10" series="1">
      <pivotArea type="data" outline="0" fieldPosition="0">
        <references count="2">
          <reference field="4294967294" count="1" selected="0">
            <x v="0"/>
          </reference>
          <reference field="3" count="1" selected="0">
            <x v="0"/>
          </reference>
        </references>
      </pivotArea>
    </chartFormat>
    <chartFormat chart="7" format="11" series="1">
      <pivotArea type="data" outline="0" fieldPosition="0">
        <references count="2">
          <reference field="4294967294" count="1" selected="0">
            <x v="0"/>
          </reference>
          <reference field="3" count="1" selected="0">
            <x v="1"/>
          </reference>
        </references>
      </pivotArea>
    </chartFormat>
    <chartFormat chart="7" format="12" series="1">
      <pivotArea type="data" outline="0" fieldPosition="0">
        <references count="2">
          <reference field="4294967294" count="1" selected="0">
            <x v="0"/>
          </reference>
          <reference field="3" count="1" selected="0">
            <x v="2"/>
          </reference>
        </references>
      </pivotArea>
    </chartFormat>
    <chartFormat chart="7" format="13" series="1">
      <pivotArea type="data" outline="0" fieldPosition="0">
        <references count="2">
          <reference field="4294967294" count="1" selected="0">
            <x v="0"/>
          </reference>
          <reference field="3" count="1" selected="0">
            <x v="3"/>
          </reference>
        </references>
      </pivotArea>
    </chartFormat>
    <chartFormat chart="7"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10623A-B9C9-4282-B00E-98012F31F7A7}" name="PivotTable2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G35" firstHeaderRow="1" firstDataRow="2" firstDataCol="1"/>
  <pivotFields count="9">
    <pivotField axis="axisRow" showAll="0">
      <items count="31">
        <item x="6"/>
        <item x="22"/>
        <item x="23"/>
        <item x="26"/>
        <item x="3"/>
        <item x="14"/>
        <item x="5"/>
        <item x="13"/>
        <item x="8"/>
        <item x="9"/>
        <item x="21"/>
        <item x="1"/>
        <item x="27"/>
        <item x="10"/>
        <item x="19"/>
        <item x="20"/>
        <item x="2"/>
        <item x="29"/>
        <item x="0"/>
        <item x="24"/>
        <item x="18"/>
        <item x="15"/>
        <item x="11"/>
        <item x="25"/>
        <item x="17"/>
        <item x="7"/>
        <item x="28"/>
        <item x="16"/>
        <item x="12"/>
        <item x="4"/>
        <item t="default"/>
      </items>
    </pivotField>
    <pivotField showAll="0"/>
    <pivotField showAll="0"/>
    <pivotField axis="axisCol" showAll="0">
      <items count="6">
        <item x="0"/>
        <item x="1"/>
        <item x="2"/>
        <item x="3"/>
        <item x="4"/>
        <item t="default"/>
      </items>
    </pivotField>
    <pivotField dataField="1" showAll="0"/>
    <pivotField showAll="0"/>
    <pivotField showAll="0"/>
    <pivotField numFmtId="14"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3"/>
  </colFields>
  <colItems count="6">
    <i>
      <x/>
    </i>
    <i>
      <x v="1"/>
    </i>
    <i>
      <x v="2"/>
    </i>
    <i>
      <x v="3"/>
    </i>
    <i>
      <x v="4"/>
    </i>
    <i t="grand">
      <x/>
    </i>
  </colItems>
  <dataFields count="1">
    <dataField name="Sum of Sales" fld="4" baseField="0" baseItem="0"/>
  </dataField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5" format="10" series="1">
      <pivotArea type="data" outline="0" fieldPosition="0">
        <references count="2">
          <reference field="4294967294" count="1" selected="0">
            <x v="0"/>
          </reference>
          <reference field="3" count="1" selected="0">
            <x v="0"/>
          </reference>
        </references>
      </pivotArea>
    </chartFormat>
    <chartFormat chart="5" format="11" series="1">
      <pivotArea type="data" outline="0" fieldPosition="0">
        <references count="2">
          <reference field="4294967294" count="1" selected="0">
            <x v="0"/>
          </reference>
          <reference field="3" count="1" selected="0">
            <x v="1"/>
          </reference>
        </references>
      </pivotArea>
    </chartFormat>
    <chartFormat chart="5" format="12" series="1">
      <pivotArea type="data" outline="0" fieldPosition="0">
        <references count="2">
          <reference field="4294967294" count="1" selected="0">
            <x v="0"/>
          </reference>
          <reference field="3" count="1" selected="0">
            <x v="2"/>
          </reference>
        </references>
      </pivotArea>
    </chartFormat>
    <chartFormat chart="5" format="13" series="1">
      <pivotArea type="data" outline="0" fieldPosition="0">
        <references count="2">
          <reference field="4294967294" count="1" selected="0">
            <x v="0"/>
          </reference>
          <reference field="3" count="1" selected="0">
            <x v="3"/>
          </reference>
        </references>
      </pivotArea>
    </chartFormat>
    <chartFormat chart="5"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96877C-72FF-4E94-B48C-7DC93B0C3111}"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3">
    <pivotField axis="axisRow" showAll="0">
      <items count="6">
        <item x="4"/>
        <item x="1"/>
        <item x="3"/>
        <item x="2"/>
        <item x="0"/>
        <item t="default"/>
      </items>
    </pivotField>
    <pivotField showAll="0"/>
    <pivotField dataField="1" showAll="0"/>
  </pivotFields>
  <rowFields count="1">
    <field x="0"/>
  </rowFields>
  <rowItems count="6">
    <i>
      <x/>
    </i>
    <i>
      <x v="1"/>
    </i>
    <i>
      <x v="2"/>
    </i>
    <i>
      <x v="3"/>
    </i>
    <i>
      <x v="4"/>
    </i>
    <i t="grand">
      <x/>
    </i>
  </rowItems>
  <colItems count="1">
    <i/>
  </colItems>
  <dataFields count="1">
    <dataField name="Sum of Sales" fld="2" baseField="0" baseItem="0"/>
  </dataFields>
  <chartFormats count="7">
    <chartFormat chart="0" format="0"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0" count="1" selected="0">
            <x v="0"/>
          </reference>
        </references>
      </pivotArea>
    </chartFormat>
    <chartFormat chart="14" format="9">
      <pivotArea type="data" outline="0" fieldPosition="0">
        <references count="2">
          <reference field="4294967294" count="1" selected="0">
            <x v="0"/>
          </reference>
          <reference field="0" count="1" selected="0">
            <x v="1"/>
          </reference>
        </references>
      </pivotArea>
    </chartFormat>
    <chartFormat chart="14" format="10">
      <pivotArea type="data" outline="0" fieldPosition="0">
        <references count="2">
          <reference field="4294967294" count="1" selected="0">
            <x v="0"/>
          </reference>
          <reference field="0" count="1" selected="0">
            <x v="2"/>
          </reference>
        </references>
      </pivotArea>
    </chartFormat>
    <chartFormat chart="14" format="11">
      <pivotArea type="data" outline="0" fieldPosition="0">
        <references count="2">
          <reference field="4294967294" count="1" selected="0">
            <x v="0"/>
          </reference>
          <reference field="0" count="1" selected="0">
            <x v="3"/>
          </reference>
        </references>
      </pivotArea>
    </chartFormat>
    <chartFormat chart="14" format="12">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92D67ED-C956-4DBF-A234-89436695A3A5}" sourceName="Region">
  <pivotTables>
    <pivotTable tabId="2" name="PivotTable15"/>
  </pivotTables>
  <data>
    <tabular pivotCacheId="28576307">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4AD8F90-9FC0-46DF-BF7B-A28775E70A65}" sourceName="Product_Category">
  <pivotTables>
    <pivotTable tabId="2" name="PivotTable15"/>
  </pivotTables>
  <data>
    <tabular pivotCacheId="28576307">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CC3DB8C-CD59-4989-BA24-1324E0E8B977}" cache="Slicer_Region" caption="Region" rowHeight="234950"/>
  <slicer name="Product_Category" xr10:uid="{FD2ADD08-34C5-49F8-8B22-B216F93EE093}" cache="Slicer_Product_Category" caption="Product_Category"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947A5-A1DA-4762-83D0-CC1BBA3B02A3}">
  <dimension ref="A3:G10"/>
  <sheetViews>
    <sheetView topLeftCell="A2" workbookViewId="0">
      <selection activeCell="J27" sqref="J27"/>
    </sheetView>
  </sheetViews>
  <sheetFormatPr defaultRowHeight="14.4" x14ac:dyDescent="0.3"/>
  <cols>
    <col min="1" max="1" width="12.5546875" bestFit="1" customWidth="1"/>
    <col min="2" max="2" width="15.5546875" bestFit="1" customWidth="1"/>
    <col min="3" max="3" width="8" bestFit="1" customWidth="1"/>
    <col min="4" max="4" width="10" bestFit="1" customWidth="1"/>
    <col min="5" max="5" width="9" bestFit="1" customWidth="1"/>
    <col min="6" max="6" width="13.5546875" bestFit="1" customWidth="1"/>
    <col min="7" max="7" width="10.77734375" bestFit="1" customWidth="1"/>
    <col min="8" max="8" width="11.6640625" bestFit="1" customWidth="1"/>
    <col min="9" max="9" width="14.88671875" bestFit="1" customWidth="1"/>
    <col min="10" max="10" width="13.5546875" bestFit="1" customWidth="1"/>
    <col min="11" max="11" width="14.88671875" bestFit="1" customWidth="1"/>
    <col min="12" max="12" width="16.44140625" bestFit="1" customWidth="1"/>
    <col min="13" max="13" width="19.6640625" bestFit="1" customWidth="1"/>
    <col min="14" max="18" width="7" bestFit="1" customWidth="1"/>
    <col min="19" max="26" width="8" bestFit="1" customWidth="1"/>
    <col min="27" max="27" width="7" bestFit="1" customWidth="1"/>
    <col min="28" max="28" width="8" bestFit="1" customWidth="1"/>
    <col min="29" max="29" width="10.77734375" bestFit="1" customWidth="1"/>
    <col min="30" max="30" width="10" bestFit="1" customWidth="1"/>
    <col min="31" max="32" width="7" bestFit="1" customWidth="1"/>
    <col min="33" max="38" width="8" bestFit="1" customWidth="1"/>
    <col min="39" max="39" width="12.6640625" bestFit="1" customWidth="1"/>
    <col min="40" max="40" width="12" bestFit="1" customWidth="1"/>
    <col min="41" max="52" width="7" bestFit="1" customWidth="1"/>
    <col min="53" max="55" width="8" bestFit="1" customWidth="1"/>
    <col min="56" max="56" width="7" bestFit="1" customWidth="1"/>
    <col min="57" max="63" width="8" bestFit="1" customWidth="1"/>
    <col min="64" max="64" width="7" bestFit="1" customWidth="1"/>
    <col min="65" max="65" width="14.77734375" bestFit="1" customWidth="1"/>
    <col min="66" max="66" width="10.6640625" bestFit="1" customWidth="1"/>
    <col min="67" max="72" width="7" bestFit="1" customWidth="1"/>
    <col min="73" max="73" width="6" bestFit="1" customWidth="1"/>
    <col min="74" max="77" width="7" bestFit="1" customWidth="1"/>
    <col min="78" max="87" width="8" bestFit="1" customWidth="1"/>
    <col min="88" max="88" width="13.44140625" bestFit="1" customWidth="1"/>
    <col min="89" max="89" width="15.5546875" bestFit="1" customWidth="1"/>
    <col min="90" max="97" width="7" bestFit="1" customWidth="1"/>
    <col min="98" max="101" width="8" bestFit="1" customWidth="1"/>
    <col min="102" max="102" width="7" bestFit="1" customWidth="1"/>
    <col min="103" max="105" width="8" bestFit="1" customWidth="1"/>
    <col min="106" max="106" width="18.33203125" bestFit="1" customWidth="1"/>
    <col min="107" max="107" width="10.77734375" bestFit="1" customWidth="1"/>
    <col min="108" max="108" width="8" bestFit="1" customWidth="1"/>
    <col min="109" max="109" width="10.21875" bestFit="1" customWidth="1"/>
    <col min="110" max="110" width="9" bestFit="1" customWidth="1"/>
    <col min="111" max="111" width="11.21875" bestFit="1" customWidth="1"/>
    <col min="112" max="112" width="9" bestFit="1" customWidth="1"/>
    <col min="113" max="113" width="11.21875" bestFit="1" customWidth="1"/>
    <col min="114" max="114" width="9" bestFit="1" customWidth="1"/>
    <col min="115" max="115" width="11.21875" bestFit="1" customWidth="1"/>
    <col min="116" max="116" width="9" bestFit="1" customWidth="1"/>
    <col min="117" max="117" width="11.21875" bestFit="1" customWidth="1"/>
    <col min="118" max="118" width="9" bestFit="1" customWidth="1"/>
    <col min="119" max="119" width="11.21875" bestFit="1" customWidth="1"/>
    <col min="120" max="120" width="9" bestFit="1" customWidth="1"/>
    <col min="121" max="121" width="11.21875" bestFit="1" customWidth="1"/>
    <col min="122" max="122" width="9" bestFit="1" customWidth="1"/>
    <col min="123" max="123" width="11.21875" bestFit="1" customWidth="1"/>
    <col min="124" max="124" width="9" bestFit="1" customWidth="1"/>
    <col min="125" max="125" width="11.21875" bestFit="1" customWidth="1"/>
    <col min="126" max="126" width="14.77734375" bestFit="1" customWidth="1"/>
    <col min="127" max="127" width="10.6640625" bestFit="1" customWidth="1"/>
    <col min="128" max="128" width="10.21875" bestFit="1" customWidth="1"/>
    <col min="129" max="129" width="9" bestFit="1" customWidth="1"/>
    <col min="130" max="130" width="11.21875" bestFit="1" customWidth="1"/>
    <col min="131" max="131" width="9" bestFit="1" customWidth="1"/>
    <col min="132" max="132" width="11.21875" bestFit="1" customWidth="1"/>
    <col min="133" max="133" width="9" bestFit="1" customWidth="1"/>
    <col min="134" max="134" width="11.21875" bestFit="1" customWidth="1"/>
    <col min="135" max="135" width="9" bestFit="1" customWidth="1"/>
    <col min="136" max="136" width="11.21875" bestFit="1" customWidth="1"/>
    <col min="137" max="137" width="9" bestFit="1" customWidth="1"/>
    <col min="138" max="138" width="11.21875" bestFit="1" customWidth="1"/>
    <col min="139" max="139" width="9" bestFit="1" customWidth="1"/>
    <col min="140" max="140" width="11.21875" bestFit="1" customWidth="1"/>
    <col min="141" max="141" width="9" bestFit="1" customWidth="1"/>
    <col min="142" max="142" width="11.21875" bestFit="1" customWidth="1"/>
    <col min="143" max="143" width="9" bestFit="1" customWidth="1"/>
    <col min="144" max="144" width="11.21875" bestFit="1" customWidth="1"/>
    <col min="145" max="145" width="9" bestFit="1" customWidth="1"/>
    <col min="146" max="146" width="11.21875" bestFit="1" customWidth="1"/>
    <col min="147" max="147" width="9" bestFit="1" customWidth="1"/>
    <col min="148" max="148" width="11.21875" bestFit="1" customWidth="1"/>
    <col min="149" max="149" width="8" bestFit="1" customWidth="1"/>
    <col min="150" max="150" width="10.21875" bestFit="1" customWidth="1"/>
    <col min="151" max="151" width="9" bestFit="1" customWidth="1"/>
    <col min="152" max="152" width="11.21875" bestFit="1" customWidth="1"/>
    <col min="153" max="153" width="9" bestFit="1" customWidth="1"/>
    <col min="154" max="154" width="11.21875" bestFit="1" customWidth="1"/>
    <col min="155" max="155" width="9" bestFit="1" customWidth="1"/>
    <col min="156" max="156" width="11.21875" bestFit="1" customWidth="1"/>
    <col min="157" max="157" width="9" bestFit="1" customWidth="1"/>
    <col min="158" max="158" width="11.21875" bestFit="1" customWidth="1"/>
    <col min="159" max="159" width="9" bestFit="1" customWidth="1"/>
    <col min="160" max="160" width="11.21875" bestFit="1" customWidth="1"/>
    <col min="161" max="161" width="9" bestFit="1" customWidth="1"/>
    <col min="162" max="162" width="11.21875" bestFit="1" customWidth="1"/>
    <col min="163" max="163" width="9" bestFit="1" customWidth="1"/>
    <col min="164" max="164" width="11.21875" bestFit="1" customWidth="1"/>
    <col min="165" max="165" width="9" bestFit="1" customWidth="1"/>
    <col min="166" max="166" width="11.21875" bestFit="1" customWidth="1"/>
    <col min="167" max="167" width="9" bestFit="1" customWidth="1"/>
    <col min="168" max="168" width="11.21875" bestFit="1" customWidth="1"/>
    <col min="169" max="169" width="9" bestFit="1" customWidth="1"/>
    <col min="170" max="170" width="11.21875" bestFit="1" customWidth="1"/>
    <col min="171" max="171" width="13.44140625" bestFit="1" customWidth="1"/>
    <col min="172" max="172" width="15.5546875" bestFit="1" customWidth="1"/>
    <col min="173" max="173" width="11.21875" bestFit="1" customWidth="1"/>
    <col min="174" max="174" width="9" bestFit="1" customWidth="1"/>
    <col min="175" max="175" width="11.21875" bestFit="1" customWidth="1"/>
    <col min="176" max="176" width="9" bestFit="1" customWidth="1"/>
    <col min="177" max="177" width="11.21875" bestFit="1" customWidth="1"/>
    <col min="178" max="178" width="9" bestFit="1" customWidth="1"/>
    <col min="179" max="179" width="11.21875" bestFit="1" customWidth="1"/>
    <col min="180" max="180" width="9" bestFit="1" customWidth="1"/>
    <col min="181" max="181" width="11.21875" bestFit="1" customWidth="1"/>
    <col min="182" max="182" width="9" bestFit="1" customWidth="1"/>
    <col min="183" max="183" width="11.21875" bestFit="1" customWidth="1"/>
    <col min="184" max="184" width="9" bestFit="1" customWidth="1"/>
    <col min="185" max="185" width="11.21875" bestFit="1" customWidth="1"/>
    <col min="186" max="186" width="9" bestFit="1" customWidth="1"/>
    <col min="187" max="187" width="11.21875" bestFit="1" customWidth="1"/>
    <col min="188" max="188" width="9" bestFit="1" customWidth="1"/>
    <col min="189" max="189" width="11.21875" bestFit="1" customWidth="1"/>
    <col min="190" max="190" width="9" bestFit="1" customWidth="1"/>
    <col min="191" max="191" width="11.21875" bestFit="1" customWidth="1"/>
    <col min="192" max="192" width="9" bestFit="1" customWidth="1"/>
    <col min="193" max="193" width="11.21875" bestFit="1" customWidth="1"/>
    <col min="194" max="194" width="9" bestFit="1" customWidth="1"/>
    <col min="195" max="195" width="11.21875" bestFit="1" customWidth="1"/>
    <col min="196" max="196" width="9" bestFit="1" customWidth="1"/>
    <col min="197" max="197" width="11.21875" bestFit="1" customWidth="1"/>
    <col min="198" max="198" width="8" bestFit="1" customWidth="1"/>
    <col min="199" max="199" width="10.21875" bestFit="1" customWidth="1"/>
    <col min="200" max="200" width="9" bestFit="1" customWidth="1"/>
    <col min="201" max="201" width="11.21875" bestFit="1" customWidth="1"/>
    <col min="202" max="202" width="9" bestFit="1" customWidth="1"/>
    <col min="203" max="203" width="11.21875" bestFit="1" customWidth="1"/>
    <col min="204" max="204" width="9" bestFit="1" customWidth="1"/>
    <col min="205" max="205" width="11.21875" bestFit="1" customWidth="1"/>
    <col min="206" max="206" width="18.33203125" bestFit="1" customWidth="1"/>
    <col min="207" max="207" width="10.77734375" bestFit="1" customWidth="1"/>
  </cols>
  <sheetData>
    <row r="3" spans="1:7" x14ac:dyDescent="0.3">
      <c r="A3" s="6" t="s">
        <v>76</v>
      </c>
      <c r="B3" s="6" t="s">
        <v>79</v>
      </c>
    </row>
    <row r="4" spans="1:7" x14ac:dyDescent="0.3">
      <c r="A4" s="6" t="s">
        <v>77</v>
      </c>
      <c r="B4" t="s">
        <v>45</v>
      </c>
      <c r="C4" t="s">
        <v>43</v>
      </c>
      <c r="D4" t="s">
        <v>44</v>
      </c>
      <c r="E4" t="s">
        <v>46</v>
      </c>
      <c r="F4" t="s">
        <v>58</v>
      </c>
      <c r="G4" t="s">
        <v>78</v>
      </c>
    </row>
    <row r="5" spans="1:7" x14ac:dyDescent="0.3">
      <c r="A5" s="7" t="s">
        <v>55</v>
      </c>
      <c r="B5" s="10">
        <v>7883.3400000000011</v>
      </c>
      <c r="C5" s="10">
        <v>1639.5</v>
      </c>
      <c r="D5" s="10">
        <v>3606.83</v>
      </c>
      <c r="E5" s="10">
        <v>3444.49</v>
      </c>
      <c r="F5" s="10">
        <v>4470.51</v>
      </c>
      <c r="G5" s="10">
        <v>21044.67</v>
      </c>
    </row>
    <row r="6" spans="1:7" x14ac:dyDescent="0.3">
      <c r="A6" s="7" t="s">
        <v>39</v>
      </c>
      <c r="B6" s="10">
        <v>2677.0699999999997</v>
      </c>
      <c r="C6" s="10">
        <v>1291.47</v>
      </c>
      <c r="D6" s="10">
        <v>539.77</v>
      </c>
      <c r="E6" s="10">
        <v>5212.4199999999992</v>
      </c>
      <c r="F6" s="10">
        <v>4410.42</v>
      </c>
      <c r="G6" s="10">
        <v>14131.15</v>
      </c>
    </row>
    <row r="7" spans="1:7" x14ac:dyDescent="0.3">
      <c r="A7" s="7" t="s">
        <v>42</v>
      </c>
      <c r="B7" s="10">
        <v>2775.5299999999997</v>
      </c>
      <c r="C7" s="10">
        <v>1205.82</v>
      </c>
      <c r="D7" s="10">
        <v>4419.9399999999996</v>
      </c>
      <c r="E7" s="10">
        <v>4942.87</v>
      </c>
      <c r="F7" s="10">
        <v>2202.4700000000003</v>
      </c>
      <c r="G7" s="10">
        <v>15546.630000000001</v>
      </c>
    </row>
    <row r="8" spans="1:7" x14ac:dyDescent="0.3">
      <c r="A8" s="7" t="s">
        <v>40</v>
      </c>
      <c r="B8" s="10">
        <v>6857.9500000000007</v>
      </c>
      <c r="C8" s="10">
        <v>2179.92</v>
      </c>
      <c r="D8" s="10">
        <v>9438.9700000000012</v>
      </c>
      <c r="E8" s="10">
        <v>2733.7</v>
      </c>
      <c r="F8" s="10">
        <v>981.2</v>
      </c>
      <c r="G8" s="10">
        <v>22191.740000000005</v>
      </c>
    </row>
    <row r="9" spans="1:7" x14ac:dyDescent="0.3">
      <c r="A9" s="7" t="s">
        <v>41</v>
      </c>
      <c r="B9" s="10">
        <v>5337.38</v>
      </c>
      <c r="C9" s="10">
        <v>3630.5299999999997</v>
      </c>
      <c r="D9" s="10">
        <v>6223.8600000000006</v>
      </c>
      <c r="E9" s="10">
        <v>5321.8600000000006</v>
      </c>
      <c r="F9" s="10">
        <v>4955.07</v>
      </c>
      <c r="G9" s="10">
        <v>25468.7</v>
      </c>
    </row>
    <row r="10" spans="1:7" x14ac:dyDescent="0.3">
      <c r="A10" s="7" t="s">
        <v>78</v>
      </c>
      <c r="B10" s="10">
        <v>25531.27</v>
      </c>
      <c r="C10" s="10">
        <v>9947.24</v>
      </c>
      <c r="D10" s="10">
        <v>24229.370000000003</v>
      </c>
      <c r="E10" s="10">
        <v>21655.34</v>
      </c>
      <c r="F10" s="10">
        <v>17019.670000000002</v>
      </c>
      <c r="G10" s="10">
        <v>98382.89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1E1C-5A23-4ADE-9940-EFBE6ECBD926}">
  <dimension ref="A2:N19"/>
  <sheetViews>
    <sheetView tabSelected="1" workbookViewId="0">
      <selection activeCell="N15" sqref="N15"/>
    </sheetView>
  </sheetViews>
  <sheetFormatPr defaultRowHeight="14.4" x14ac:dyDescent="0.3"/>
  <cols>
    <col min="1" max="3" width="8.88671875" style="8"/>
    <col min="4" max="4" width="2.5546875" style="8" customWidth="1"/>
    <col min="5" max="16384" width="8.88671875" style="8"/>
  </cols>
  <sheetData>
    <row r="2" spans="1:14" x14ac:dyDescent="0.3">
      <c r="A2" s="11" t="s">
        <v>87</v>
      </c>
      <c r="B2" s="12"/>
      <c r="C2" s="12"/>
      <c r="D2" s="12"/>
      <c r="E2" s="12"/>
      <c r="F2" s="12"/>
      <c r="G2" s="12"/>
      <c r="H2" s="12"/>
      <c r="I2" s="12"/>
      <c r="J2" s="12"/>
      <c r="K2" s="12"/>
      <c r="L2" s="12"/>
      <c r="M2" s="12"/>
      <c r="N2" s="12"/>
    </row>
    <row r="3" spans="1:14" x14ac:dyDescent="0.3">
      <c r="A3" s="12"/>
      <c r="B3" s="12"/>
      <c r="C3" s="12"/>
      <c r="D3" s="12"/>
      <c r="E3" s="12"/>
      <c r="F3" s="12"/>
      <c r="G3" s="12"/>
      <c r="H3" s="12"/>
      <c r="I3" s="12"/>
      <c r="J3" s="12"/>
      <c r="K3" s="12"/>
      <c r="L3" s="12"/>
      <c r="M3" s="12"/>
      <c r="N3" s="12"/>
    </row>
    <row r="4" spans="1:14" x14ac:dyDescent="0.3">
      <c r="A4" s="12"/>
      <c r="B4" s="12"/>
      <c r="C4" s="12"/>
      <c r="D4" s="12"/>
      <c r="E4" s="12"/>
      <c r="F4" s="12"/>
      <c r="G4" s="12"/>
      <c r="H4" s="12"/>
      <c r="I4" s="12"/>
      <c r="J4" s="12"/>
      <c r="K4" s="12"/>
      <c r="L4" s="12"/>
      <c r="M4" s="12"/>
      <c r="N4" s="12"/>
    </row>
    <row r="16" spans="1:14" x14ac:dyDescent="0.3">
      <c r="A16" s="14">
        <f>datasat!R3</f>
        <v>98382.889999999985</v>
      </c>
      <c r="B16" s="14"/>
      <c r="C16" s="14"/>
      <c r="E16" s="14">
        <f>datasat!S3</f>
        <v>33131.030000000006</v>
      </c>
      <c r="F16" s="14"/>
      <c r="G16" s="14"/>
    </row>
    <row r="17" spans="1:7" x14ac:dyDescent="0.3">
      <c r="A17" s="14"/>
      <c r="B17" s="14"/>
      <c r="C17" s="14"/>
      <c r="E17" s="14"/>
      <c r="F17" s="14"/>
      <c r="G17" s="14"/>
    </row>
    <row r="18" spans="1:7" x14ac:dyDescent="0.3">
      <c r="A18" s="14"/>
      <c r="B18" s="14"/>
      <c r="C18" s="14"/>
      <c r="E18" s="14"/>
      <c r="F18" s="14"/>
      <c r="G18" s="14"/>
    </row>
    <row r="19" spans="1:7" x14ac:dyDescent="0.3">
      <c r="A19" s="14"/>
      <c r="B19" s="14"/>
      <c r="C19" s="14"/>
      <c r="E19" s="14"/>
      <c r="F19" s="14"/>
      <c r="G19" s="14"/>
    </row>
  </sheetData>
  <mergeCells count="3">
    <mergeCell ref="A2:N4"/>
    <mergeCell ref="A16:C19"/>
    <mergeCell ref="E16:G1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514F-5663-4209-A7EE-03EC953AB9C8}">
  <dimension ref="A3:G35"/>
  <sheetViews>
    <sheetView topLeftCell="A9" workbookViewId="0">
      <selection activeCell="K22" sqref="K22"/>
    </sheetView>
  </sheetViews>
  <sheetFormatPr defaultRowHeight="14.4" x14ac:dyDescent="0.3"/>
  <cols>
    <col min="1" max="1" width="12.5546875" bestFit="1" customWidth="1"/>
    <col min="2" max="2" width="15.5546875" bestFit="1" customWidth="1"/>
    <col min="3" max="3" width="8" bestFit="1" customWidth="1"/>
    <col min="4" max="4" width="10" bestFit="1" customWidth="1"/>
    <col min="5" max="5" width="9" bestFit="1" customWidth="1"/>
    <col min="6" max="6" width="13.5546875" bestFit="1" customWidth="1"/>
    <col min="7" max="7" width="10.77734375" bestFit="1" customWidth="1"/>
  </cols>
  <sheetData>
    <row r="3" spans="1:7" x14ac:dyDescent="0.3">
      <c r="A3" s="6" t="s">
        <v>76</v>
      </c>
      <c r="B3" s="6" t="s">
        <v>79</v>
      </c>
    </row>
    <row r="4" spans="1:7" x14ac:dyDescent="0.3">
      <c r="A4" s="6" t="s">
        <v>77</v>
      </c>
      <c r="B4" t="s">
        <v>45</v>
      </c>
      <c r="C4" t="s">
        <v>43</v>
      </c>
      <c r="D4" t="s">
        <v>44</v>
      </c>
      <c r="E4" t="s">
        <v>46</v>
      </c>
      <c r="F4" t="s">
        <v>58</v>
      </c>
      <c r="G4" t="s">
        <v>78</v>
      </c>
    </row>
    <row r="5" spans="1:7" x14ac:dyDescent="0.3">
      <c r="A5" s="7" t="s">
        <v>9</v>
      </c>
      <c r="B5">
        <v>636.70000000000005</v>
      </c>
      <c r="D5">
        <v>1317.53</v>
      </c>
      <c r="E5">
        <v>853.72</v>
      </c>
      <c r="G5">
        <v>2807.95</v>
      </c>
    </row>
    <row r="6" spans="1:7" x14ac:dyDescent="0.3">
      <c r="A6" s="7" t="s">
        <v>10</v>
      </c>
      <c r="B6">
        <v>1819.3400000000001</v>
      </c>
      <c r="G6">
        <v>1819.3400000000001</v>
      </c>
    </row>
    <row r="7" spans="1:7" x14ac:dyDescent="0.3">
      <c r="A7" s="7" t="s">
        <v>11</v>
      </c>
      <c r="B7">
        <v>1248.82</v>
      </c>
      <c r="C7">
        <v>902.19</v>
      </c>
      <c r="D7">
        <v>3500.3399999999997</v>
      </c>
      <c r="E7">
        <v>1034.7</v>
      </c>
      <c r="G7">
        <v>6686.05</v>
      </c>
    </row>
    <row r="8" spans="1:7" x14ac:dyDescent="0.3">
      <c r="A8" s="7" t="s">
        <v>12</v>
      </c>
      <c r="E8">
        <v>518.07000000000005</v>
      </c>
      <c r="F8">
        <v>1443.98</v>
      </c>
      <c r="G8">
        <v>1962.0500000000002</v>
      </c>
    </row>
    <row r="9" spans="1:7" x14ac:dyDescent="0.3">
      <c r="A9" s="7" t="s">
        <v>13</v>
      </c>
      <c r="B9">
        <v>2221.8900000000003</v>
      </c>
      <c r="D9">
        <v>2263.86</v>
      </c>
      <c r="E9">
        <v>2180.38</v>
      </c>
      <c r="G9">
        <v>6666.13</v>
      </c>
    </row>
    <row r="10" spans="1:7" x14ac:dyDescent="0.3">
      <c r="A10" s="7" t="s">
        <v>14</v>
      </c>
      <c r="B10">
        <v>1506.14</v>
      </c>
      <c r="G10">
        <v>1506.14</v>
      </c>
    </row>
    <row r="11" spans="1:7" x14ac:dyDescent="0.3">
      <c r="A11" s="7" t="s">
        <v>15</v>
      </c>
      <c r="B11">
        <v>2810.38</v>
      </c>
      <c r="C11">
        <v>953.3</v>
      </c>
      <c r="D11">
        <v>1021.47</v>
      </c>
      <c r="E11">
        <v>2067.19</v>
      </c>
      <c r="G11">
        <v>6852.34</v>
      </c>
    </row>
    <row r="12" spans="1:7" x14ac:dyDescent="0.3">
      <c r="A12" s="7" t="s">
        <v>16</v>
      </c>
      <c r="B12">
        <v>877.58</v>
      </c>
      <c r="D12">
        <v>775.45</v>
      </c>
      <c r="E12">
        <v>773.09</v>
      </c>
      <c r="F12">
        <v>804.81</v>
      </c>
      <c r="G12">
        <v>3230.9300000000003</v>
      </c>
    </row>
    <row r="13" spans="1:7" x14ac:dyDescent="0.3">
      <c r="A13" s="7" t="s">
        <v>17</v>
      </c>
      <c r="B13">
        <v>501.54</v>
      </c>
      <c r="D13">
        <v>818.8</v>
      </c>
      <c r="G13">
        <v>1320.34</v>
      </c>
    </row>
    <row r="14" spans="1:7" x14ac:dyDescent="0.3">
      <c r="A14" s="7" t="s">
        <v>18</v>
      </c>
      <c r="C14">
        <v>737.31</v>
      </c>
      <c r="D14">
        <v>1173.1199999999999</v>
      </c>
      <c r="F14">
        <v>488.99</v>
      </c>
      <c r="G14">
        <v>2399.42</v>
      </c>
    </row>
    <row r="15" spans="1:7" x14ac:dyDescent="0.3">
      <c r="A15" s="7" t="s">
        <v>19</v>
      </c>
      <c r="F15">
        <v>1001.57</v>
      </c>
      <c r="G15">
        <v>1001.57</v>
      </c>
    </row>
    <row r="16" spans="1:7" x14ac:dyDescent="0.3">
      <c r="A16" s="7" t="s">
        <v>20</v>
      </c>
      <c r="B16">
        <v>1276.83</v>
      </c>
      <c r="C16">
        <v>2461.64</v>
      </c>
      <c r="D16">
        <v>1215.26</v>
      </c>
      <c r="F16">
        <v>925.31</v>
      </c>
      <c r="G16">
        <v>5879.0399999999991</v>
      </c>
    </row>
    <row r="17" spans="1:7" x14ac:dyDescent="0.3">
      <c r="A17" s="7" t="s">
        <v>21</v>
      </c>
      <c r="E17">
        <v>727.73</v>
      </c>
      <c r="G17">
        <v>727.73</v>
      </c>
    </row>
    <row r="18" spans="1:7" x14ac:dyDescent="0.3">
      <c r="A18" s="7" t="s">
        <v>22</v>
      </c>
      <c r="B18">
        <v>1343.13</v>
      </c>
      <c r="F18">
        <v>1572.82</v>
      </c>
      <c r="G18">
        <v>2915.95</v>
      </c>
    </row>
    <row r="19" spans="1:7" x14ac:dyDescent="0.3">
      <c r="A19" s="7" t="s">
        <v>23</v>
      </c>
      <c r="C19">
        <v>2395.5100000000002</v>
      </c>
      <c r="F19">
        <v>1200.9000000000001</v>
      </c>
      <c r="G19">
        <v>3596.4100000000003</v>
      </c>
    </row>
    <row r="20" spans="1:7" x14ac:dyDescent="0.3">
      <c r="A20" s="7" t="s">
        <v>24</v>
      </c>
      <c r="B20">
        <v>580.42999999999995</v>
      </c>
      <c r="G20">
        <v>580.42999999999995</v>
      </c>
    </row>
    <row r="21" spans="1:7" x14ac:dyDescent="0.3">
      <c r="A21" s="7" t="s">
        <v>25</v>
      </c>
      <c r="B21">
        <v>713.34</v>
      </c>
      <c r="D21">
        <v>856.7</v>
      </c>
      <c r="F21">
        <v>826.93</v>
      </c>
      <c r="G21">
        <v>2396.9699999999998</v>
      </c>
    </row>
    <row r="22" spans="1:7" x14ac:dyDescent="0.3">
      <c r="A22" s="7" t="s">
        <v>26</v>
      </c>
      <c r="B22">
        <v>966.3</v>
      </c>
      <c r="G22">
        <v>966.3</v>
      </c>
    </row>
    <row r="23" spans="1:7" x14ac:dyDescent="0.3">
      <c r="A23" s="7" t="s">
        <v>27</v>
      </c>
      <c r="B23">
        <v>1779.2599999999998</v>
      </c>
      <c r="F23">
        <v>840.92</v>
      </c>
      <c r="G23">
        <v>2620.1799999999998</v>
      </c>
    </row>
    <row r="24" spans="1:7" x14ac:dyDescent="0.3">
      <c r="A24" s="7" t="s">
        <v>28</v>
      </c>
      <c r="B24">
        <v>917.48</v>
      </c>
      <c r="E24">
        <v>2515.0299999999997</v>
      </c>
      <c r="F24">
        <v>981.2</v>
      </c>
      <c r="G24">
        <v>4413.71</v>
      </c>
    </row>
    <row r="25" spans="1:7" x14ac:dyDescent="0.3">
      <c r="A25" s="7" t="s">
        <v>29</v>
      </c>
      <c r="B25">
        <v>2224.15</v>
      </c>
      <c r="C25">
        <v>1205.82</v>
      </c>
      <c r="D25">
        <v>1988.15</v>
      </c>
      <c r="E25">
        <v>1186.8499999999999</v>
      </c>
      <c r="G25">
        <v>6604.9700000000012</v>
      </c>
    </row>
    <row r="26" spans="1:7" x14ac:dyDescent="0.3">
      <c r="A26" s="7" t="s">
        <v>30</v>
      </c>
      <c r="B26">
        <v>2287.6999999999998</v>
      </c>
      <c r="D26">
        <v>388.56</v>
      </c>
      <c r="G26">
        <v>2676.2599999999998</v>
      </c>
    </row>
    <row r="27" spans="1:7" x14ac:dyDescent="0.3">
      <c r="A27" s="7" t="s">
        <v>31</v>
      </c>
      <c r="D27">
        <v>706.37</v>
      </c>
      <c r="E27">
        <v>1695.98</v>
      </c>
      <c r="F27">
        <v>1710.75</v>
      </c>
      <c r="G27">
        <v>4113.1000000000004</v>
      </c>
    </row>
    <row r="28" spans="1:7" x14ac:dyDescent="0.3">
      <c r="A28" s="7" t="s">
        <v>32</v>
      </c>
      <c r="D28">
        <v>2066.37</v>
      </c>
      <c r="G28">
        <v>2066.37</v>
      </c>
    </row>
    <row r="29" spans="1:7" x14ac:dyDescent="0.3">
      <c r="A29" s="7" t="s">
        <v>33</v>
      </c>
      <c r="D29">
        <v>1450.71</v>
      </c>
      <c r="F29">
        <v>1225.42</v>
      </c>
      <c r="G29">
        <v>2676.13</v>
      </c>
    </row>
    <row r="30" spans="1:7" x14ac:dyDescent="0.3">
      <c r="A30" s="7" t="s">
        <v>34</v>
      </c>
      <c r="D30">
        <v>645.02</v>
      </c>
      <c r="E30">
        <v>3235.4300000000003</v>
      </c>
      <c r="F30">
        <v>1111.3399999999999</v>
      </c>
      <c r="G30">
        <v>4991.79</v>
      </c>
    </row>
    <row r="31" spans="1:7" x14ac:dyDescent="0.3">
      <c r="A31" s="7" t="s">
        <v>35</v>
      </c>
      <c r="F31">
        <v>875.41</v>
      </c>
      <c r="G31">
        <v>875.41</v>
      </c>
    </row>
    <row r="32" spans="1:7" x14ac:dyDescent="0.3">
      <c r="A32" s="7" t="s">
        <v>36</v>
      </c>
      <c r="D32">
        <v>1591.29</v>
      </c>
      <c r="E32">
        <v>1410.06</v>
      </c>
      <c r="F32">
        <v>2009.3200000000002</v>
      </c>
      <c r="G32">
        <v>5010.67</v>
      </c>
    </row>
    <row r="33" spans="1:7" x14ac:dyDescent="0.3">
      <c r="A33" s="7" t="s">
        <v>37</v>
      </c>
      <c r="D33">
        <v>1841.71</v>
      </c>
      <c r="E33">
        <v>1694.6399999999999</v>
      </c>
      <c r="G33">
        <v>3536.35</v>
      </c>
    </row>
    <row r="34" spans="1:7" x14ac:dyDescent="0.3">
      <c r="A34" s="7" t="s">
        <v>38</v>
      </c>
      <c r="B34">
        <v>1820.26</v>
      </c>
      <c r="C34">
        <v>1291.47</v>
      </c>
      <c r="D34">
        <v>608.66</v>
      </c>
      <c r="E34">
        <v>1762.47</v>
      </c>
      <c r="G34">
        <v>5482.86</v>
      </c>
    </row>
    <row r="35" spans="1:7" x14ac:dyDescent="0.3">
      <c r="A35" s="7" t="s">
        <v>78</v>
      </c>
      <c r="B35">
        <v>25531.27</v>
      </c>
      <c r="C35">
        <v>9947.24</v>
      </c>
      <c r="D35">
        <v>24229.37</v>
      </c>
      <c r="E35">
        <v>21655.34</v>
      </c>
      <c r="F35">
        <v>17019.670000000002</v>
      </c>
      <c r="G35">
        <v>98382.890000000014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07E27-80DA-4236-AB32-15B69BA8050C}">
  <dimension ref="A3:B9"/>
  <sheetViews>
    <sheetView workbookViewId="0">
      <selection activeCell="J24" sqref="J24"/>
    </sheetView>
  </sheetViews>
  <sheetFormatPr defaultRowHeight="14.4" x14ac:dyDescent="0.3"/>
  <cols>
    <col min="1" max="1" width="12.5546875" bestFit="1" customWidth="1"/>
    <col min="2" max="2" width="11.6640625" bestFit="1" customWidth="1"/>
  </cols>
  <sheetData>
    <row r="3" spans="1:2" x14ac:dyDescent="0.3">
      <c r="A3" s="6" t="s">
        <v>77</v>
      </c>
      <c r="B3" t="s">
        <v>76</v>
      </c>
    </row>
    <row r="4" spans="1:2" x14ac:dyDescent="0.3">
      <c r="A4" s="7" t="s">
        <v>55</v>
      </c>
      <c r="B4" s="10">
        <v>21044.670000000002</v>
      </c>
    </row>
    <row r="5" spans="1:2" x14ac:dyDescent="0.3">
      <c r="A5" s="7" t="s">
        <v>39</v>
      </c>
      <c r="B5" s="10">
        <v>14131.150000000001</v>
      </c>
    </row>
    <row r="6" spans="1:2" x14ac:dyDescent="0.3">
      <c r="A6" s="7" t="s">
        <v>42</v>
      </c>
      <c r="B6" s="10">
        <v>15546.630000000001</v>
      </c>
    </row>
    <row r="7" spans="1:2" x14ac:dyDescent="0.3">
      <c r="A7" s="7" t="s">
        <v>40</v>
      </c>
      <c r="B7" s="10">
        <v>22191.74</v>
      </c>
    </row>
    <row r="8" spans="1:2" x14ac:dyDescent="0.3">
      <c r="A8" s="7" t="s">
        <v>41</v>
      </c>
      <c r="B8" s="10">
        <v>25468.699999999997</v>
      </c>
    </row>
    <row r="9" spans="1:2" x14ac:dyDescent="0.3">
      <c r="A9" s="7" t="s">
        <v>78</v>
      </c>
      <c r="B9" s="10">
        <v>98382.890000000014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2"/>
  <sheetViews>
    <sheetView workbookViewId="0">
      <selection activeCell="C1" sqref="C1"/>
    </sheetView>
  </sheetViews>
  <sheetFormatPr defaultColWidth="32.5546875" defaultRowHeight="14.4" x14ac:dyDescent="0.3"/>
  <cols>
    <col min="1" max="1" width="11.88671875" bestFit="1" customWidth="1"/>
    <col min="2" max="2" width="15.6640625" bestFit="1" customWidth="1"/>
    <col min="3" max="3" width="6.88671875" bestFit="1" customWidth="1"/>
    <col min="4" max="4" width="16.33203125" bestFit="1" customWidth="1"/>
    <col min="5" max="5" width="7.5546875" bestFit="1" customWidth="1"/>
    <col min="6" max="7" width="8.33203125" bestFit="1" customWidth="1"/>
    <col min="8" max="8" width="10.6640625" bestFit="1" customWidth="1"/>
    <col min="9" max="9" width="6.5546875" bestFit="1" customWidth="1"/>
    <col min="10" max="10" width="7" bestFit="1" customWidth="1"/>
    <col min="11" max="11" width="10.77734375" bestFit="1" customWidth="1"/>
    <col min="12" max="12" width="20.5546875" customWidth="1"/>
  </cols>
  <sheetData>
    <row r="1" spans="1:19" ht="15" thickBot="1" x14ac:dyDescent="0.35">
      <c r="A1" s="3" t="s">
        <v>0</v>
      </c>
      <c r="B1" s="3" t="s">
        <v>1</v>
      </c>
      <c r="C1" s="3" t="s">
        <v>2</v>
      </c>
      <c r="D1" s="3" t="s">
        <v>3</v>
      </c>
      <c r="E1" s="3" t="s">
        <v>4</v>
      </c>
      <c r="F1" s="3" t="s">
        <v>5</v>
      </c>
      <c r="G1" s="3" t="s">
        <v>6</v>
      </c>
      <c r="H1" s="3" t="s">
        <v>7</v>
      </c>
      <c r="I1" s="3" t="s">
        <v>8</v>
      </c>
      <c r="J1" s="1" t="s">
        <v>8</v>
      </c>
    </row>
    <row r="2" spans="1:19" ht="15" thickBot="1" x14ac:dyDescent="0.35">
      <c r="A2" s="2" t="s">
        <v>27</v>
      </c>
      <c r="B2" s="2" t="s">
        <v>47</v>
      </c>
      <c r="C2" s="2" t="s">
        <v>41</v>
      </c>
      <c r="D2" s="2" t="s">
        <v>45</v>
      </c>
      <c r="E2" s="4">
        <v>1036.0899999999999</v>
      </c>
      <c r="F2" s="4">
        <v>4</v>
      </c>
      <c r="G2" s="4">
        <v>0.2</v>
      </c>
      <c r="H2" s="5">
        <v>45392</v>
      </c>
      <c r="I2" s="4">
        <v>331.55</v>
      </c>
      <c r="J2">
        <v>21.82</v>
      </c>
      <c r="K2" s="2" t="s">
        <v>47</v>
      </c>
      <c r="L2" s="2" t="s">
        <v>47</v>
      </c>
      <c r="M2" s="9" t="s">
        <v>80</v>
      </c>
      <c r="N2" s="9" t="s">
        <v>81</v>
      </c>
      <c r="O2" s="9" t="s">
        <v>83</v>
      </c>
      <c r="P2" s="9" t="s">
        <v>82</v>
      </c>
      <c r="Q2" s="9" t="s">
        <v>84</v>
      </c>
      <c r="R2" s="13" t="s">
        <v>85</v>
      </c>
      <c r="S2" s="13" t="s">
        <v>86</v>
      </c>
    </row>
    <row r="3" spans="1:19" ht="15" thickBot="1" x14ac:dyDescent="0.35">
      <c r="A3" s="2" t="s">
        <v>20</v>
      </c>
      <c r="B3" s="2" t="s">
        <v>48</v>
      </c>
      <c r="C3" s="2" t="s">
        <v>41</v>
      </c>
      <c r="D3" s="2" t="s">
        <v>43</v>
      </c>
      <c r="E3" s="4">
        <v>1101.28</v>
      </c>
      <c r="F3" s="4">
        <v>3</v>
      </c>
      <c r="G3" s="4">
        <v>0.2</v>
      </c>
      <c r="H3" s="5">
        <v>45393</v>
      </c>
      <c r="I3" s="4">
        <v>440.51</v>
      </c>
      <c r="J3">
        <v>221.9</v>
      </c>
      <c r="L3" s="2" t="s">
        <v>47</v>
      </c>
      <c r="M3" s="2" t="s">
        <v>47</v>
      </c>
      <c r="N3">
        <f>INDEX(A1:J101,MATCH(L3,B3:B101,0),5)</f>
        <v>488.99</v>
      </c>
      <c r="O3" t="str" cm="1">
        <f t="array" ref="O3:O102">IF(F2:F101&gt;10,"top","low")</f>
        <v>low</v>
      </c>
      <c r="P3" t="str" cm="1">
        <f t="array" ref="P3:P102">IF(F2:F101&gt;15,"top",IF(F2:F101&gt;10,"midium","low"))</f>
        <v>low</v>
      </c>
      <c r="Q3" s="4">
        <v>331.55</v>
      </c>
      <c r="R3">
        <f>SUM(E2:E101)</f>
        <v>98382.889999999985</v>
      </c>
      <c r="S3">
        <f>SUM(I2:I101)</f>
        <v>33131.030000000006</v>
      </c>
    </row>
    <row r="4" spans="1:19" ht="15" thickBot="1" x14ac:dyDescent="0.35">
      <c r="A4" s="2" t="s">
        <v>25</v>
      </c>
      <c r="B4" s="2" t="s">
        <v>49</v>
      </c>
      <c r="C4" s="2" t="s">
        <v>39</v>
      </c>
      <c r="D4" s="2" t="s">
        <v>45</v>
      </c>
      <c r="E4" s="4">
        <v>713.34</v>
      </c>
      <c r="F4" s="4">
        <v>17</v>
      </c>
      <c r="G4" s="4">
        <v>0</v>
      </c>
      <c r="H4" s="5">
        <v>45396</v>
      </c>
      <c r="I4" s="4">
        <v>285.33999999999997</v>
      </c>
      <c r="J4">
        <v>17.739999999999998</v>
      </c>
      <c r="L4" s="2" t="s">
        <v>48</v>
      </c>
      <c r="M4" s="2" t="s">
        <v>48</v>
      </c>
      <c r="N4">
        <f t="shared" ref="N4:N67" si="0">INDEX(A2:J102,MATCH(L4,B4:B102,0),5)</f>
        <v>1101.28</v>
      </c>
      <c r="O4" t="str">
        <v>low</v>
      </c>
      <c r="P4" t="str">
        <v>low</v>
      </c>
      <c r="Q4" s="4">
        <v>440.51</v>
      </c>
    </row>
    <row r="5" spans="1:19" ht="15" thickBot="1" x14ac:dyDescent="0.35">
      <c r="A5" s="2" t="s">
        <v>13</v>
      </c>
      <c r="B5" s="2" t="s">
        <v>48</v>
      </c>
      <c r="C5" s="2" t="s">
        <v>40</v>
      </c>
      <c r="D5" s="2" t="s">
        <v>44</v>
      </c>
      <c r="E5" s="4">
        <v>760.93</v>
      </c>
      <c r="F5" s="4">
        <v>4</v>
      </c>
      <c r="G5" s="4">
        <v>0.15</v>
      </c>
      <c r="H5" s="5">
        <v>45396</v>
      </c>
      <c r="I5" s="4">
        <v>161.69999999999999</v>
      </c>
      <c r="J5">
        <v>84.02</v>
      </c>
      <c r="L5" s="2" t="s">
        <v>49</v>
      </c>
      <c r="M5" s="2" t="s">
        <v>49</v>
      </c>
      <c r="N5">
        <f t="shared" si="0"/>
        <v>1158.94</v>
      </c>
      <c r="O5" t="str">
        <v>top</v>
      </c>
      <c r="P5" t="str">
        <v>top</v>
      </c>
      <c r="Q5" s="4">
        <v>285.33999999999997</v>
      </c>
    </row>
    <row r="6" spans="1:19" ht="15" thickBot="1" x14ac:dyDescent="0.35">
      <c r="A6" s="2" t="s">
        <v>38</v>
      </c>
      <c r="B6" s="2" t="s">
        <v>50</v>
      </c>
      <c r="C6" s="2" t="s">
        <v>42</v>
      </c>
      <c r="D6" s="2" t="s">
        <v>45</v>
      </c>
      <c r="E6" s="4">
        <v>847</v>
      </c>
      <c r="F6" s="4">
        <v>12</v>
      </c>
      <c r="G6" s="4">
        <v>0.2</v>
      </c>
      <c r="H6" s="5">
        <v>45397</v>
      </c>
      <c r="I6" s="4">
        <v>271.04000000000002</v>
      </c>
      <c r="J6">
        <v>222.78</v>
      </c>
      <c r="L6" s="2" t="s">
        <v>48</v>
      </c>
      <c r="M6" s="2" t="s">
        <v>48</v>
      </c>
      <c r="N6">
        <f t="shared" si="0"/>
        <v>1343.13</v>
      </c>
      <c r="O6" t="str">
        <v>low</v>
      </c>
      <c r="P6" t="str">
        <v>low</v>
      </c>
      <c r="Q6" s="4">
        <v>161.69999999999999</v>
      </c>
    </row>
    <row r="7" spans="1:19" ht="15" thickBot="1" x14ac:dyDescent="0.35">
      <c r="A7" s="2" t="s">
        <v>15</v>
      </c>
      <c r="B7" s="2" t="s">
        <v>51</v>
      </c>
      <c r="C7" s="2" t="s">
        <v>42</v>
      </c>
      <c r="D7" s="2" t="s">
        <v>46</v>
      </c>
      <c r="E7" s="4">
        <v>965.64</v>
      </c>
      <c r="F7" s="4">
        <v>8</v>
      </c>
      <c r="G7" s="4">
        <v>0.1</v>
      </c>
      <c r="H7" s="5">
        <v>45398</v>
      </c>
      <c r="I7" s="4">
        <v>304.18</v>
      </c>
      <c r="J7">
        <v>259.01</v>
      </c>
      <c r="L7" s="2" t="s">
        <v>50</v>
      </c>
      <c r="M7" s="2" t="s">
        <v>50</v>
      </c>
      <c r="N7">
        <f t="shared" si="0"/>
        <v>939.09</v>
      </c>
      <c r="O7" t="str">
        <v>top</v>
      </c>
      <c r="P7" t="str">
        <v>midium</v>
      </c>
      <c r="Q7" s="4">
        <v>271.04000000000002</v>
      </c>
    </row>
    <row r="8" spans="1:19" ht="15" thickBot="1" x14ac:dyDescent="0.35">
      <c r="A8" s="2" t="s">
        <v>9</v>
      </c>
      <c r="B8" s="2" t="s">
        <v>52</v>
      </c>
      <c r="C8" s="2" t="s">
        <v>41</v>
      </c>
      <c r="D8" s="2" t="s">
        <v>44</v>
      </c>
      <c r="E8" s="4">
        <v>1317.53</v>
      </c>
      <c r="F8" s="4">
        <v>12</v>
      </c>
      <c r="G8" s="4">
        <v>0.05</v>
      </c>
      <c r="H8" s="5">
        <v>45398</v>
      </c>
      <c r="I8" s="4">
        <v>312.91000000000003</v>
      </c>
      <c r="J8">
        <v>89.98</v>
      </c>
      <c r="L8" s="2" t="s">
        <v>51</v>
      </c>
      <c r="M8" s="2" t="s">
        <v>51</v>
      </c>
      <c r="N8">
        <f t="shared" si="0"/>
        <v>1572.82</v>
      </c>
      <c r="O8" t="str">
        <v>low</v>
      </c>
      <c r="P8" t="str">
        <v>low</v>
      </c>
      <c r="Q8" s="4">
        <v>304.18</v>
      </c>
    </row>
    <row r="9" spans="1:19" ht="15" thickBot="1" x14ac:dyDescent="0.35">
      <c r="A9" s="2" t="s">
        <v>34</v>
      </c>
      <c r="B9" s="2" t="s">
        <v>53</v>
      </c>
      <c r="C9" s="2" t="s">
        <v>39</v>
      </c>
      <c r="D9" s="2" t="s">
        <v>46</v>
      </c>
      <c r="E9" s="4">
        <v>1074.47</v>
      </c>
      <c r="F9" s="4">
        <v>6</v>
      </c>
      <c r="G9" s="4">
        <v>0.2</v>
      </c>
      <c r="H9" s="5">
        <v>45401</v>
      </c>
      <c r="I9" s="4">
        <v>300.85000000000002</v>
      </c>
      <c r="J9">
        <v>239.36</v>
      </c>
      <c r="L9" s="2" t="s">
        <v>52</v>
      </c>
      <c r="M9" s="2" t="s">
        <v>52</v>
      </c>
      <c r="N9">
        <f t="shared" si="0"/>
        <v>804.45</v>
      </c>
      <c r="O9" t="str">
        <v>top</v>
      </c>
      <c r="P9" t="str">
        <v>midium</v>
      </c>
      <c r="Q9" s="4">
        <v>312.91000000000003</v>
      </c>
    </row>
    <row r="10" spans="1:19" ht="15" thickBot="1" x14ac:dyDescent="0.35">
      <c r="A10" s="2" t="s">
        <v>17</v>
      </c>
      <c r="B10" s="2" t="s">
        <v>54</v>
      </c>
      <c r="C10" s="2" t="s">
        <v>55</v>
      </c>
      <c r="D10" s="2" t="s">
        <v>45</v>
      </c>
      <c r="E10" s="4">
        <v>501.54</v>
      </c>
      <c r="F10" s="4">
        <v>11</v>
      </c>
      <c r="G10" s="4">
        <v>0.05</v>
      </c>
      <c r="H10" s="5">
        <v>45401</v>
      </c>
      <c r="I10" s="4">
        <v>190.59</v>
      </c>
      <c r="J10">
        <v>229.49</v>
      </c>
      <c r="L10" s="2" t="s">
        <v>53</v>
      </c>
      <c r="M10" s="2" t="s">
        <v>53</v>
      </c>
      <c r="N10">
        <f t="shared" si="0"/>
        <v>636.70000000000005</v>
      </c>
      <c r="O10" t="str">
        <v>low</v>
      </c>
      <c r="P10" t="str">
        <v>low</v>
      </c>
      <c r="Q10" s="4">
        <v>300.85000000000002</v>
      </c>
    </row>
    <row r="11" spans="1:19" ht="15" thickBot="1" x14ac:dyDescent="0.35">
      <c r="A11" s="2" t="s">
        <v>18</v>
      </c>
      <c r="B11" s="2" t="s">
        <v>56</v>
      </c>
      <c r="C11" s="2" t="s">
        <v>55</v>
      </c>
      <c r="D11" s="2" t="s">
        <v>43</v>
      </c>
      <c r="E11" s="4">
        <v>737.31</v>
      </c>
      <c r="F11" s="4">
        <v>2</v>
      </c>
      <c r="G11" s="4">
        <v>0.05</v>
      </c>
      <c r="H11" s="5">
        <v>45401</v>
      </c>
      <c r="I11" s="4">
        <v>350.22</v>
      </c>
      <c r="J11">
        <v>265.87</v>
      </c>
      <c r="L11" s="2" t="s">
        <v>54</v>
      </c>
      <c r="M11" s="2" t="s">
        <v>54</v>
      </c>
      <c r="N11">
        <f t="shared" si="0"/>
        <v>1186.8499999999999</v>
      </c>
      <c r="O11" t="str">
        <v>top</v>
      </c>
      <c r="P11" t="str">
        <v>midium</v>
      </c>
      <c r="Q11" s="4">
        <v>190.59</v>
      </c>
    </row>
    <row r="12" spans="1:19" ht="15" thickBot="1" x14ac:dyDescent="0.35">
      <c r="A12" s="2" t="s">
        <v>22</v>
      </c>
      <c r="B12" s="2" t="s">
        <v>57</v>
      </c>
      <c r="C12" s="2" t="s">
        <v>41</v>
      </c>
      <c r="D12" s="2" t="s">
        <v>58</v>
      </c>
      <c r="E12" s="4">
        <v>1572.82</v>
      </c>
      <c r="F12" s="4">
        <v>6</v>
      </c>
      <c r="G12" s="4">
        <v>0.05</v>
      </c>
      <c r="H12" s="5">
        <v>45402</v>
      </c>
      <c r="I12" s="4">
        <v>672.38</v>
      </c>
      <c r="J12">
        <v>213.31</v>
      </c>
      <c r="L12" s="2" t="s">
        <v>56</v>
      </c>
      <c r="M12" s="2" t="s">
        <v>56</v>
      </c>
      <c r="N12">
        <f t="shared" si="0"/>
        <v>737.31</v>
      </c>
      <c r="O12" t="str">
        <v>low</v>
      </c>
      <c r="P12" t="str">
        <v>low</v>
      </c>
      <c r="Q12" s="4">
        <v>350.22</v>
      </c>
    </row>
    <row r="13" spans="1:19" ht="15" thickBot="1" x14ac:dyDescent="0.35">
      <c r="A13" s="2" t="s">
        <v>22</v>
      </c>
      <c r="B13" s="2" t="s">
        <v>56</v>
      </c>
      <c r="C13" s="2" t="s">
        <v>55</v>
      </c>
      <c r="D13" s="2" t="s">
        <v>45</v>
      </c>
      <c r="E13" s="4">
        <v>1343.13</v>
      </c>
      <c r="F13" s="4">
        <v>14</v>
      </c>
      <c r="G13" s="4">
        <v>0.15</v>
      </c>
      <c r="H13" s="5">
        <v>45404</v>
      </c>
      <c r="I13" s="4">
        <v>456.66</v>
      </c>
      <c r="J13">
        <v>412.32</v>
      </c>
      <c r="L13" s="2" t="s">
        <v>57</v>
      </c>
      <c r="M13" s="2" t="s">
        <v>57</v>
      </c>
      <c r="N13">
        <f t="shared" si="0"/>
        <v>1086.93</v>
      </c>
      <c r="O13" t="str">
        <v>low</v>
      </c>
      <c r="P13" t="str">
        <v>low</v>
      </c>
      <c r="Q13" s="4">
        <v>672.38</v>
      </c>
    </row>
    <row r="14" spans="1:19" ht="15" thickBot="1" x14ac:dyDescent="0.35">
      <c r="A14" s="2" t="s">
        <v>15</v>
      </c>
      <c r="B14" s="2" t="s">
        <v>51</v>
      </c>
      <c r="C14" s="2" t="s">
        <v>55</v>
      </c>
      <c r="D14" s="2" t="s">
        <v>45</v>
      </c>
      <c r="E14" s="4">
        <v>1191.58</v>
      </c>
      <c r="F14" s="4">
        <v>14</v>
      </c>
      <c r="G14" s="4">
        <v>0.05</v>
      </c>
      <c r="H14" s="5">
        <v>45406</v>
      </c>
      <c r="I14" s="4">
        <v>452.8</v>
      </c>
      <c r="J14">
        <v>183.28</v>
      </c>
      <c r="L14" s="2" t="s">
        <v>56</v>
      </c>
      <c r="M14" s="2" t="s">
        <v>56</v>
      </c>
      <c r="N14">
        <f t="shared" si="0"/>
        <v>790.08</v>
      </c>
      <c r="O14" t="str">
        <v>top</v>
      </c>
      <c r="P14" t="str">
        <v>midium</v>
      </c>
      <c r="Q14" s="4">
        <v>456.66</v>
      </c>
    </row>
    <row r="15" spans="1:19" ht="15" thickBot="1" x14ac:dyDescent="0.35">
      <c r="A15" s="2" t="s">
        <v>31</v>
      </c>
      <c r="B15" s="2" t="s">
        <v>48</v>
      </c>
      <c r="C15" s="2" t="s">
        <v>41</v>
      </c>
      <c r="D15" s="2" t="s">
        <v>46</v>
      </c>
      <c r="E15" s="4">
        <v>822.28</v>
      </c>
      <c r="F15" s="4">
        <v>7</v>
      </c>
      <c r="G15" s="4">
        <v>0.05</v>
      </c>
      <c r="H15" s="5">
        <v>45406</v>
      </c>
      <c r="I15" s="4">
        <v>273.41000000000003</v>
      </c>
      <c r="J15">
        <v>265.89999999999998</v>
      </c>
      <c r="L15" s="2" t="s">
        <v>51</v>
      </c>
      <c r="M15" s="2" t="s">
        <v>51</v>
      </c>
      <c r="N15">
        <f t="shared" si="0"/>
        <v>967.89</v>
      </c>
      <c r="O15" t="str">
        <v>top</v>
      </c>
      <c r="P15" t="str">
        <v>midium</v>
      </c>
      <c r="Q15" s="4">
        <v>452.8</v>
      </c>
    </row>
    <row r="16" spans="1:19" ht="15" thickBot="1" x14ac:dyDescent="0.35">
      <c r="A16" s="2" t="s">
        <v>37</v>
      </c>
      <c r="B16" s="2" t="s">
        <v>59</v>
      </c>
      <c r="C16" s="2" t="s">
        <v>42</v>
      </c>
      <c r="D16" s="2" t="s">
        <v>46</v>
      </c>
      <c r="E16" s="4">
        <v>521.66999999999996</v>
      </c>
      <c r="F16" s="4">
        <v>15</v>
      </c>
      <c r="G16" s="4">
        <v>0.15</v>
      </c>
      <c r="H16" s="5">
        <v>45409</v>
      </c>
      <c r="I16" s="4">
        <v>155.19999999999999</v>
      </c>
      <c r="J16">
        <v>39.33</v>
      </c>
      <c r="L16" s="2" t="s">
        <v>48</v>
      </c>
      <c r="M16" s="2" t="s">
        <v>48</v>
      </c>
      <c r="N16">
        <f t="shared" si="0"/>
        <v>521.66999999999996</v>
      </c>
      <c r="O16" t="str">
        <v>low</v>
      </c>
      <c r="P16" t="str">
        <v>low</v>
      </c>
      <c r="Q16" s="4">
        <v>273.41000000000003</v>
      </c>
    </row>
    <row r="17" spans="1:17" ht="15" thickBot="1" x14ac:dyDescent="0.35">
      <c r="A17" s="2" t="s">
        <v>13</v>
      </c>
      <c r="B17" s="2" t="s">
        <v>60</v>
      </c>
      <c r="C17" s="2" t="s">
        <v>40</v>
      </c>
      <c r="D17" s="2" t="s">
        <v>44</v>
      </c>
      <c r="E17" s="4">
        <v>1502.93</v>
      </c>
      <c r="F17" s="4">
        <v>14</v>
      </c>
      <c r="G17" s="4">
        <v>0.2</v>
      </c>
      <c r="H17" s="5">
        <v>45410</v>
      </c>
      <c r="I17" s="4">
        <v>300.58999999999997</v>
      </c>
      <c r="J17">
        <v>239.53</v>
      </c>
      <c r="L17" s="2" t="s">
        <v>59</v>
      </c>
      <c r="M17" s="2" t="s">
        <v>59</v>
      </c>
      <c r="N17">
        <f t="shared" si="0"/>
        <v>773.09</v>
      </c>
      <c r="O17" t="str">
        <v>top</v>
      </c>
      <c r="P17" t="str">
        <v>midium</v>
      </c>
      <c r="Q17" s="4">
        <v>155.19999999999999</v>
      </c>
    </row>
    <row r="18" spans="1:17" ht="15" thickBot="1" x14ac:dyDescent="0.35">
      <c r="A18" s="2" t="s">
        <v>16</v>
      </c>
      <c r="B18" s="2" t="s">
        <v>48</v>
      </c>
      <c r="C18" s="2" t="s">
        <v>40</v>
      </c>
      <c r="D18" s="2" t="s">
        <v>45</v>
      </c>
      <c r="E18" s="4">
        <v>877.58</v>
      </c>
      <c r="F18" s="4">
        <v>10</v>
      </c>
      <c r="G18" s="4">
        <v>0.15</v>
      </c>
      <c r="H18" s="5">
        <v>45411</v>
      </c>
      <c r="I18" s="4">
        <v>298.38</v>
      </c>
      <c r="J18">
        <v>35.96</v>
      </c>
      <c r="L18" s="2" t="s">
        <v>60</v>
      </c>
      <c r="M18" s="2" t="s">
        <v>60</v>
      </c>
      <c r="N18">
        <f t="shared" si="0"/>
        <v>1023.21</v>
      </c>
      <c r="O18" t="str">
        <v>top</v>
      </c>
      <c r="P18" t="str">
        <v>midium</v>
      </c>
      <c r="Q18" s="4">
        <v>300.58999999999997</v>
      </c>
    </row>
    <row r="19" spans="1:17" ht="15" thickBot="1" x14ac:dyDescent="0.35">
      <c r="A19" s="2" t="s">
        <v>9</v>
      </c>
      <c r="B19" s="2" t="s">
        <v>61</v>
      </c>
      <c r="C19" s="2" t="s">
        <v>41</v>
      </c>
      <c r="D19" s="2" t="s">
        <v>45</v>
      </c>
      <c r="E19" s="4">
        <v>636.70000000000005</v>
      </c>
      <c r="F19" s="4">
        <v>4</v>
      </c>
      <c r="G19" s="4">
        <v>0.2</v>
      </c>
      <c r="H19" s="5">
        <v>45411</v>
      </c>
      <c r="I19" s="4">
        <v>203.74</v>
      </c>
      <c r="J19">
        <v>186.31</v>
      </c>
      <c r="L19" s="2" t="s">
        <v>48</v>
      </c>
      <c r="M19" s="2" t="s">
        <v>48</v>
      </c>
      <c r="N19">
        <f t="shared" si="0"/>
        <v>645.02</v>
      </c>
      <c r="O19" t="str">
        <v>low</v>
      </c>
      <c r="P19" t="str">
        <v>low</v>
      </c>
      <c r="Q19" s="4">
        <v>298.38</v>
      </c>
    </row>
    <row r="20" spans="1:17" ht="15" thickBot="1" x14ac:dyDescent="0.35">
      <c r="A20" s="2" t="s">
        <v>14</v>
      </c>
      <c r="B20" s="2" t="s">
        <v>62</v>
      </c>
      <c r="C20" s="2" t="s">
        <v>41</v>
      </c>
      <c r="D20" s="2" t="s">
        <v>45</v>
      </c>
      <c r="E20" s="4">
        <v>1506.14</v>
      </c>
      <c r="F20" s="4">
        <v>13</v>
      </c>
      <c r="G20" s="4">
        <v>0.2</v>
      </c>
      <c r="H20" s="5">
        <v>45412</v>
      </c>
      <c r="I20" s="4">
        <v>481.96</v>
      </c>
      <c r="J20">
        <v>271.27</v>
      </c>
      <c r="L20" s="2" t="s">
        <v>61</v>
      </c>
      <c r="M20" s="2" t="s">
        <v>61</v>
      </c>
      <c r="N20">
        <f t="shared" si="0"/>
        <v>1215.26</v>
      </c>
      <c r="O20" t="str">
        <v>low</v>
      </c>
      <c r="P20" t="str">
        <v>low</v>
      </c>
      <c r="Q20" s="4">
        <v>203.74</v>
      </c>
    </row>
    <row r="21" spans="1:17" ht="15" thickBot="1" x14ac:dyDescent="0.35">
      <c r="A21" s="2" t="s">
        <v>34</v>
      </c>
      <c r="B21" s="2" t="s">
        <v>53</v>
      </c>
      <c r="C21" s="2" t="s">
        <v>55</v>
      </c>
      <c r="D21" s="2" t="s">
        <v>44</v>
      </c>
      <c r="E21" s="4">
        <v>645.02</v>
      </c>
      <c r="F21" s="4">
        <v>4</v>
      </c>
      <c r="G21" s="4">
        <v>0</v>
      </c>
      <c r="H21" s="5">
        <v>45414</v>
      </c>
      <c r="I21" s="4">
        <v>161.26</v>
      </c>
      <c r="J21">
        <v>13.5</v>
      </c>
      <c r="L21" s="2" t="s">
        <v>62</v>
      </c>
      <c r="M21" s="2" t="s">
        <v>62</v>
      </c>
      <c r="N21">
        <f t="shared" si="0"/>
        <v>1450.71</v>
      </c>
      <c r="O21" t="str">
        <v>top</v>
      </c>
      <c r="P21" t="str">
        <v>midium</v>
      </c>
      <c r="Q21" s="4">
        <v>481.96</v>
      </c>
    </row>
    <row r="22" spans="1:17" ht="15" thickBot="1" x14ac:dyDescent="0.35">
      <c r="A22" s="2" t="s">
        <v>15</v>
      </c>
      <c r="B22" s="2" t="s">
        <v>63</v>
      </c>
      <c r="C22" s="2" t="s">
        <v>40</v>
      </c>
      <c r="D22" s="2" t="s">
        <v>43</v>
      </c>
      <c r="E22" s="4">
        <v>953.3</v>
      </c>
      <c r="F22" s="4">
        <v>11</v>
      </c>
      <c r="G22" s="4">
        <v>0</v>
      </c>
      <c r="H22" s="5">
        <v>45415</v>
      </c>
      <c r="I22" s="4">
        <v>476.65</v>
      </c>
      <c r="J22">
        <v>94.06</v>
      </c>
      <c r="L22" s="2" t="s">
        <v>53</v>
      </c>
      <c r="M22" s="2" t="s">
        <v>53</v>
      </c>
      <c r="N22">
        <f t="shared" si="0"/>
        <v>953.3</v>
      </c>
      <c r="O22" t="str">
        <v>low</v>
      </c>
      <c r="P22" t="str">
        <v>low</v>
      </c>
      <c r="Q22" s="4">
        <v>161.26</v>
      </c>
    </row>
    <row r="23" spans="1:17" ht="15" thickBot="1" x14ac:dyDescent="0.35">
      <c r="A23" s="2" t="s">
        <v>30</v>
      </c>
      <c r="B23" s="2" t="s">
        <v>48</v>
      </c>
      <c r="C23" s="2" t="s">
        <v>42</v>
      </c>
      <c r="D23" s="2" t="s">
        <v>44</v>
      </c>
      <c r="E23" s="4">
        <v>388.56</v>
      </c>
      <c r="F23" s="4">
        <v>14</v>
      </c>
      <c r="G23" s="4">
        <v>0.15</v>
      </c>
      <c r="H23" s="5">
        <v>45416</v>
      </c>
      <c r="I23" s="4">
        <v>82.57</v>
      </c>
      <c r="J23">
        <v>219.02</v>
      </c>
      <c r="L23" s="2" t="s">
        <v>63</v>
      </c>
      <c r="M23" s="2" t="s">
        <v>63</v>
      </c>
      <c r="N23">
        <f t="shared" si="0"/>
        <v>472.38</v>
      </c>
      <c r="O23" t="str">
        <v>top</v>
      </c>
      <c r="P23" t="str">
        <v>midium</v>
      </c>
      <c r="Q23" s="4">
        <v>476.65</v>
      </c>
    </row>
    <row r="24" spans="1:17" ht="15" thickBot="1" x14ac:dyDescent="0.35">
      <c r="A24" s="2" t="s">
        <v>27</v>
      </c>
      <c r="B24" s="2" t="s">
        <v>53</v>
      </c>
      <c r="C24" s="2" t="s">
        <v>41</v>
      </c>
      <c r="D24" s="2" t="s">
        <v>45</v>
      </c>
      <c r="E24" s="4">
        <v>743.17</v>
      </c>
      <c r="F24" s="4">
        <v>9</v>
      </c>
      <c r="G24" s="4">
        <v>0</v>
      </c>
      <c r="H24" s="5">
        <v>45416</v>
      </c>
      <c r="I24" s="4">
        <v>297.27</v>
      </c>
      <c r="J24">
        <v>64.84</v>
      </c>
      <c r="L24" s="2" t="s">
        <v>48</v>
      </c>
      <c r="M24" s="2" t="s">
        <v>48</v>
      </c>
      <c r="N24">
        <f t="shared" si="0"/>
        <v>1173.1199999999999</v>
      </c>
      <c r="O24" t="str">
        <v>top</v>
      </c>
      <c r="P24" t="str">
        <v>midium</v>
      </c>
      <c r="Q24" s="4">
        <v>82.57</v>
      </c>
    </row>
    <row r="25" spans="1:17" ht="15" thickBot="1" x14ac:dyDescent="0.35">
      <c r="A25" s="2" t="s">
        <v>31</v>
      </c>
      <c r="B25" s="2" t="s">
        <v>53</v>
      </c>
      <c r="C25" s="2" t="s">
        <v>55</v>
      </c>
      <c r="D25" s="2" t="s">
        <v>44</v>
      </c>
      <c r="E25" s="4">
        <v>706.37</v>
      </c>
      <c r="F25" s="4">
        <v>6</v>
      </c>
      <c r="G25" s="4">
        <v>0</v>
      </c>
      <c r="H25" s="5">
        <v>45416</v>
      </c>
      <c r="I25" s="4">
        <v>176.59</v>
      </c>
      <c r="J25">
        <v>194.37</v>
      </c>
      <c r="L25" s="2" t="s">
        <v>53</v>
      </c>
      <c r="M25" s="2" t="s">
        <v>53</v>
      </c>
      <c r="N25">
        <f t="shared" si="0"/>
        <v>388.56</v>
      </c>
      <c r="O25" t="str">
        <v>low</v>
      </c>
      <c r="P25" t="str">
        <v>low</v>
      </c>
      <c r="Q25" s="4">
        <v>297.27</v>
      </c>
    </row>
    <row r="26" spans="1:17" ht="15" thickBot="1" x14ac:dyDescent="0.35">
      <c r="A26" s="2" t="s">
        <v>20</v>
      </c>
      <c r="B26" s="2" t="s">
        <v>53</v>
      </c>
      <c r="C26" s="2" t="s">
        <v>55</v>
      </c>
      <c r="D26" s="2" t="s">
        <v>58</v>
      </c>
      <c r="E26" s="4">
        <v>925.31</v>
      </c>
      <c r="F26" s="4">
        <v>8</v>
      </c>
      <c r="G26" s="4">
        <v>0.1</v>
      </c>
      <c r="H26" s="5">
        <v>45418</v>
      </c>
      <c r="I26" s="4">
        <v>374.75</v>
      </c>
      <c r="J26">
        <v>49.78</v>
      </c>
      <c r="L26" s="2" t="s">
        <v>53</v>
      </c>
      <c r="M26" s="2" t="s">
        <v>53</v>
      </c>
      <c r="N26">
        <f t="shared" si="0"/>
        <v>743.17</v>
      </c>
      <c r="O26" t="str">
        <v>low</v>
      </c>
      <c r="P26" t="str">
        <v>low</v>
      </c>
      <c r="Q26" s="4">
        <v>176.59</v>
      </c>
    </row>
    <row r="27" spans="1:17" ht="15" thickBot="1" x14ac:dyDescent="0.35">
      <c r="A27" s="2" t="s">
        <v>18</v>
      </c>
      <c r="B27" s="2" t="s">
        <v>64</v>
      </c>
      <c r="C27" s="2" t="s">
        <v>40</v>
      </c>
      <c r="D27" s="2" t="s">
        <v>44</v>
      </c>
      <c r="E27" s="4">
        <v>1173.1199999999999</v>
      </c>
      <c r="F27" s="4">
        <v>18</v>
      </c>
      <c r="G27" s="4">
        <v>0</v>
      </c>
      <c r="H27" s="5">
        <v>45418</v>
      </c>
      <c r="I27" s="4">
        <v>293.27999999999997</v>
      </c>
      <c r="J27">
        <v>377.16</v>
      </c>
      <c r="L27" s="2" t="s">
        <v>53</v>
      </c>
      <c r="M27" s="2" t="s">
        <v>53</v>
      </c>
      <c r="N27">
        <f t="shared" si="0"/>
        <v>856.7</v>
      </c>
      <c r="O27" t="str">
        <v>low</v>
      </c>
      <c r="P27" t="str">
        <v>low</v>
      </c>
      <c r="Q27" s="4">
        <v>374.75</v>
      </c>
    </row>
    <row r="28" spans="1:17" ht="15" thickBot="1" x14ac:dyDescent="0.35">
      <c r="A28" s="2" t="s">
        <v>38</v>
      </c>
      <c r="B28" s="2" t="s">
        <v>65</v>
      </c>
      <c r="C28" s="2" t="s">
        <v>42</v>
      </c>
      <c r="D28" s="2" t="s">
        <v>46</v>
      </c>
      <c r="E28" s="4">
        <v>675.54</v>
      </c>
      <c r="F28" s="4">
        <v>17</v>
      </c>
      <c r="G28" s="4">
        <v>0</v>
      </c>
      <c r="H28" s="5">
        <v>45420</v>
      </c>
      <c r="I28" s="4">
        <v>236.44</v>
      </c>
      <c r="J28">
        <v>49.41</v>
      </c>
      <c r="L28" s="2" t="s">
        <v>64</v>
      </c>
      <c r="M28" s="2" t="s">
        <v>64</v>
      </c>
      <c r="N28">
        <f t="shared" si="0"/>
        <v>679.71</v>
      </c>
      <c r="O28" t="str">
        <v>top</v>
      </c>
      <c r="P28" t="str">
        <v>top</v>
      </c>
      <c r="Q28" s="4">
        <v>293.27999999999997</v>
      </c>
    </row>
    <row r="29" spans="1:17" ht="15" thickBot="1" x14ac:dyDescent="0.35">
      <c r="A29" s="2" t="s">
        <v>15</v>
      </c>
      <c r="B29" s="2" t="s">
        <v>48</v>
      </c>
      <c r="C29" s="2" t="s">
        <v>55</v>
      </c>
      <c r="D29" s="2" t="s">
        <v>45</v>
      </c>
      <c r="E29" s="4">
        <v>939.09</v>
      </c>
      <c r="F29" s="4">
        <v>2</v>
      </c>
      <c r="G29" s="4">
        <v>0.05</v>
      </c>
      <c r="H29" s="5">
        <v>45422</v>
      </c>
      <c r="I29" s="4">
        <v>356.85</v>
      </c>
      <c r="J29">
        <v>123.75</v>
      </c>
      <c r="L29" s="2" t="s">
        <v>65</v>
      </c>
      <c r="M29" s="2" t="s">
        <v>65</v>
      </c>
      <c r="N29">
        <f t="shared" si="0"/>
        <v>1001.57</v>
      </c>
      <c r="O29" t="str">
        <v>top</v>
      </c>
      <c r="P29" t="str">
        <v>top</v>
      </c>
      <c r="Q29" s="4">
        <v>236.44</v>
      </c>
    </row>
    <row r="30" spans="1:17" ht="15" thickBot="1" x14ac:dyDescent="0.35">
      <c r="A30" s="2" t="s">
        <v>36</v>
      </c>
      <c r="B30" s="2" t="s">
        <v>66</v>
      </c>
      <c r="C30" s="2" t="s">
        <v>39</v>
      </c>
      <c r="D30" s="2" t="s">
        <v>58</v>
      </c>
      <c r="E30" s="4">
        <v>983.34</v>
      </c>
      <c r="F30" s="4">
        <v>19</v>
      </c>
      <c r="G30" s="4">
        <v>0.1</v>
      </c>
      <c r="H30" s="5">
        <v>45426</v>
      </c>
      <c r="I30" s="4">
        <v>398.25</v>
      </c>
      <c r="J30">
        <v>29.72</v>
      </c>
      <c r="L30" s="2" t="s">
        <v>48</v>
      </c>
      <c r="M30" s="2" t="s">
        <v>48</v>
      </c>
      <c r="N30">
        <f t="shared" si="0"/>
        <v>942.9</v>
      </c>
      <c r="O30" t="str">
        <v>low</v>
      </c>
      <c r="P30" t="str">
        <v>low</v>
      </c>
      <c r="Q30" s="4">
        <v>356.85</v>
      </c>
    </row>
    <row r="31" spans="1:17" ht="15" thickBot="1" x14ac:dyDescent="0.35">
      <c r="A31" s="2" t="s">
        <v>36</v>
      </c>
      <c r="B31" s="2" t="s">
        <v>50</v>
      </c>
      <c r="C31" s="2" t="s">
        <v>40</v>
      </c>
      <c r="D31" s="2" t="s">
        <v>44</v>
      </c>
      <c r="E31" s="4">
        <v>801.21</v>
      </c>
      <c r="F31" s="4">
        <v>3</v>
      </c>
      <c r="G31" s="4">
        <v>0.2</v>
      </c>
      <c r="H31" s="5">
        <v>45426</v>
      </c>
      <c r="I31" s="4">
        <v>160.24</v>
      </c>
      <c r="J31">
        <v>355.1</v>
      </c>
      <c r="L31" s="2" t="s">
        <v>66</v>
      </c>
      <c r="M31" s="2" t="s">
        <v>66</v>
      </c>
      <c r="N31">
        <f t="shared" si="0"/>
        <v>853.72</v>
      </c>
      <c r="O31" t="str">
        <v>top</v>
      </c>
      <c r="P31" t="str">
        <v>top</v>
      </c>
      <c r="Q31" s="4">
        <v>398.25</v>
      </c>
    </row>
    <row r="32" spans="1:17" ht="15" thickBot="1" x14ac:dyDescent="0.35">
      <c r="A32" s="2" t="s">
        <v>33</v>
      </c>
      <c r="B32" s="2" t="s">
        <v>67</v>
      </c>
      <c r="C32" s="2" t="s">
        <v>42</v>
      </c>
      <c r="D32" s="2" t="s">
        <v>44</v>
      </c>
      <c r="E32" s="4">
        <v>1450.71</v>
      </c>
      <c r="F32" s="4">
        <v>5</v>
      </c>
      <c r="G32" s="4">
        <v>0.1</v>
      </c>
      <c r="H32" s="5">
        <v>45427</v>
      </c>
      <c r="I32" s="4">
        <v>326.41000000000003</v>
      </c>
      <c r="J32">
        <v>265.89</v>
      </c>
      <c r="L32" s="2" t="s">
        <v>50</v>
      </c>
      <c r="M32" s="2" t="s">
        <v>50</v>
      </c>
      <c r="N32">
        <f t="shared" si="0"/>
        <v>580.42999999999995</v>
      </c>
      <c r="O32" t="str">
        <v>low</v>
      </c>
      <c r="P32" t="str">
        <v>low</v>
      </c>
      <c r="Q32" s="4">
        <v>160.24</v>
      </c>
    </row>
    <row r="33" spans="1:17" ht="15" thickBot="1" x14ac:dyDescent="0.35">
      <c r="A33" s="2" t="s">
        <v>30</v>
      </c>
      <c r="B33" s="2" t="s">
        <v>68</v>
      </c>
      <c r="C33" s="2" t="s">
        <v>55</v>
      </c>
      <c r="D33" s="2" t="s">
        <v>45</v>
      </c>
      <c r="E33" s="4">
        <v>1023.21</v>
      </c>
      <c r="F33" s="4">
        <v>18</v>
      </c>
      <c r="G33" s="4">
        <v>0.05</v>
      </c>
      <c r="H33" s="5">
        <v>45428</v>
      </c>
      <c r="I33" s="4">
        <v>388.82</v>
      </c>
      <c r="J33">
        <v>115.76</v>
      </c>
      <c r="L33" s="2" t="s">
        <v>67</v>
      </c>
      <c r="M33" s="2" t="s">
        <v>67</v>
      </c>
      <c r="N33">
        <f t="shared" si="0"/>
        <v>1200.9000000000001</v>
      </c>
      <c r="O33" t="str">
        <v>low</v>
      </c>
      <c r="P33" t="str">
        <v>low</v>
      </c>
      <c r="Q33" s="4">
        <v>326.41000000000003</v>
      </c>
    </row>
    <row r="34" spans="1:17" ht="15" thickBot="1" x14ac:dyDescent="0.35">
      <c r="A34" s="2" t="s">
        <v>9</v>
      </c>
      <c r="B34" s="2" t="s">
        <v>62</v>
      </c>
      <c r="C34" s="2" t="s">
        <v>41</v>
      </c>
      <c r="D34" s="2" t="s">
        <v>46</v>
      </c>
      <c r="E34" s="4">
        <v>853.72</v>
      </c>
      <c r="F34" s="4">
        <v>5</v>
      </c>
      <c r="G34" s="4">
        <v>0.15</v>
      </c>
      <c r="H34" s="5">
        <v>45428</v>
      </c>
      <c r="I34" s="4">
        <v>253.98</v>
      </c>
      <c r="J34">
        <v>41.31</v>
      </c>
      <c r="L34" s="2" t="s">
        <v>68</v>
      </c>
      <c r="M34" s="2" t="s">
        <v>68</v>
      </c>
      <c r="N34">
        <f t="shared" si="0"/>
        <v>1151.21</v>
      </c>
      <c r="O34" t="str">
        <v>top</v>
      </c>
      <c r="P34" t="str">
        <v>top</v>
      </c>
      <c r="Q34" s="4">
        <v>388.82</v>
      </c>
    </row>
    <row r="35" spans="1:17" ht="15" thickBot="1" x14ac:dyDescent="0.35">
      <c r="A35" s="2" t="s">
        <v>29</v>
      </c>
      <c r="B35" s="2" t="s">
        <v>60</v>
      </c>
      <c r="C35" s="2" t="s">
        <v>40</v>
      </c>
      <c r="D35" s="2" t="s">
        <v>44</v>
      </c>
      <c r="E35" s="4">
        <v>967.89</v>
      </c>
      <c r="F35" s="4">
        <v>10</v>
      </c>
      <c r="G35" s="4">
        <v>0.1</v>
      </c>
      <c r="H35" s="5">
        <v>45429</v>
      </c>
      <c r="I35" s="4">
        <v>217.78</v>
      </c>
      <c r="J35">
        <v>378.64</v>
      </c>
      <c r="L35" s="2" t="s">
        <v>62</v>
      </c>
      <c r="M35" s="2" t="s">
        <v>62</v>
      </c>
      <c r="N35">
        <f t="shared" si="0"/>
        <v>876.44</v>
      </c>
      <c r="O35" t="str">
        <v>low</v>
      </c>
      <c r="P35" t="str">
        <v>low</v>
      </c>
      <c r="Q35" s="4">
        <v>253.98</v>
      </c>
    </row>
    <row r="36" spans="1:17" ht="15" thickBot="1" x14ac:dyDescent="0.35">
      <c r="A36" s="2" t="s">
        <v>23</v>
      </c>
      <c r="B36" s="2" t="s">
        <v>66</v>
      </c>
      <c r="C36" s="2" t="s">
        <v>42</v>
      </c>
      <c r="D36" s="2" t="s">
        <v>58</v>
      </c>
      <c r="E36" s="4">
        <v>1200.9000000000001</v>
      </c>
      <c r="F36" s="4">
        <v>14</v>
      </c>
      <c r="G36" s="4">
        <v>0.05</v>
      </c>
      <c r="H36" s="5">
        <v>45429</v>
      </c>
      <c r="I36" s="4">
        <v>513.38</v>
      </c>
      <c r="J36">
        <v>191.56</v>
      </c>
      <c r="L36" s="2" t="s">
        <v>60</v>
      </c>
      <c r="M36" s="2" t="s">
        <v>60</v>
      </c>
      <c r="N36" t="e">
        <f t="shared" si="0"/>
        <v>#N/A</v>
      </c>
      <c r="O36" t="str">
        <v>low</v>
      </c>
      <c r="P36" t="str">
        <v>low</v>
      </c>
      <c r="Q36" s="4">
        <v>217.78</v>
      </c>
    </row>
    <row r="37" spans="1:17" ht="15" thickBot="1" x14ac:dyDescent="0.35">
      <c r="A37" s="2" t="s">
        <v>20</v>
      </c>
      <c r="B37" s="2" t="s">
        <v>51</v>
      </c>
      <c r="C37" s="2" t="s">
        <v>41</v>
      </c>
      <c r="D37" s="2" t="s">
        <v>45</v>
      </c>
      <c r="E37" s="4">
        <v>472.38</v>
      </c>
      <c r="F37" s="4">
        <v>12</v>
      </c>
      <c r="G37" s="4">
        <v>0.2</v>
      </c>
      <c r="H37" s="5">
        <v>45429</v>
      </c>
      <c r="I37" s="4">
        <v>151.16</v>
      </c>
      <c r="J37">
        <v>17.829999999999998</v>
      </c>
      <c r="L37" s="2" t="s">
        <v>66</v>
      </c>
      <c r="M37" s="2" t="s">
        <v>66</v>
      </c>
      <c r="N37">
        <f t="shared" si="0"/>
        <v>1526.6</v>
      </c>
      <c r="O37" t="str">
        <v>top</v>
      </c>
      <c r="P37" t="str">
        <v>midium</v>
      </c>
      <c r="Q37" s="4">
        <v>513.38</v>
      </c>
    </row>
    <row r="38" spans="1:17" ht="15" thickBot="1" x14ac:dyDescent="0.35">
      <c r="A38" s="2" t="s">
        <v>27</v>
      </c>
      <c r="B38" s="2" t="s">
        <v>67</v>
      </c>
      <c r="C38" s="2" t="s">
        <v>39</v>
      </c>
      <c r="D38" s="2" t="s">
        <v>58</v>
      </c>
      <c r="E38" s="4">
        <v>840.92</v>
      </c>
      <c r="F38" s="4">
        <v>9</v>
      </c>
      <c r="G38" s="4">
        <v>0.05</v>
      </c>
      <c r="H38" s="5">
        <v>45429</v>
      </c>
      <c r="I38" s="4">
        <v>359.49</v>
      </c>
      <c r="J38">
        <v>213.06</v>
      </c>
      <c r="L38" s="2" t="s">
        <v>51</v>
      </c>
      <c r="M38" s="2" t="s">
        <v>51</v>
      </c>
      <c r="N38">
        <f t="shared" si="0"/>
        <v>1225.42</v>
      </c>
      <c r="O38" t="str">
        <v>top</v>
      </c>
      <c r="P38" t="str">
        <v>midium</v>
      </c>
      <c r="Q38" s="4">
        <v>151.16</v>
      </c>
    </row>
    <row r="39" spans="1:17" ht="15" thickBot="1" x14ac:dyDescent="0.35">
      <c r="A39" s="2" t="s">
        <v>36</v>
      </c>
      <c r="B39" s="2" t="s">
        <v>63</v>
      </c>
      <c r="C39" s="2" t="s">
        <v>55</v>
      </c>
      <c r="D39" s="2" t="s">
        <v>46</v>
      </c>
      <c r="E39" s="4">
        <v>1410.06</v>
      </c>
      <c r="F39" s="4">
        <v>11</v>
      </c>
      <c r="G39" s="4">
        <v>0.05</v>
      </c>
      <c r="H39" s="5">
        <v>45434</v>
      </c>
      <c r="I39" s="4">
        <v>468.84</v>
      </c>
      <c r="J39">
        <v>53.57</v>
      </c>
      <c r="L39" s="2" t="s">
        <v>67</v>
      </c>
      <c r="M39" s="2" t="s">
        <v>67</v>
      </c>
      <c r="N39">
        <f t="shared" si="0"/>
        <v>1360.36</v>
      </c>
      <c r="O39" t="str">
        <v>low</v>
      </c>
      <c r="P39" t="str">
        <v>low</v>
      </c>
      <c r="Q39" s="4">
        <v>359.49</v>
      </c>
    </row>
    <row r="40" spans="1:17" ht="15" thickBot="1" x14ac:dyDescent="0.35">
      <c r="A40" s="2" t="s">
        <v>16</v>
      </c>
      <c r="B40" s="2" t="s">
        <v>69</v>
      </c>
      <c r="C40" s="2" t="s">
        <v>55</v>
      </c>
      <c r="D40" s="2" t="s">
        <v>46</v>
      </c>
      <c r="E40" s="4">
        <v>773.09</v>
      </c>
      <c r="F40" s="4">
        <v>13</v>
      </c>
      <c r="G40" s="4">
        <v>0.15</v>
      </c>
      <c r="H40" s="5">
        <v>45434</v>
      </c>
      <c r="I40" s="4">
        <v>229.99</v>
      </c>
      <c r="J40">
        <v>155.11000000000001</v>
      </c>
      <c r="L40" s="2" t="s">
        <v>63</v>
      </c>
      <c r="M40" s="2" t="s">
        <v>63</v>
      </c>
      <c r="N40">
        <f t="shared" si="0"/>
        <v>1226.6199999999999</v>
      </c>
      <c r="O40" t="str">
        <v>top</v>
      </c>
      <c r="P40" t="str">
        <v>midium</v>
      </c>
      <c r="Q40" s="4">
        <v>468.84</v>
      </c>
    </row>
    <row r="41" spans="1:17" ht="15" thickBot="1" x14ac:dyDescent="0.35">
      <c r="A41" s="2" t="s">
        <v>24</v>
      </c>
      <c r="B41" s="2" t="s">
        <v>70</v>
      </c>
      <c r="C41" s="2" t="s">
        <v>39</v>
      </c>
      <c r="D41" s="2" t="s">
        <v>45</v>
      </c>
      <c r="E41" s="4">
        <v>580.42999999999995</v>
      </c>
      <c r="F41" s="4">
        <v>19</v>
      </c>
      <c r="G41" s="4">
        <v>0.15</v>
      </c>
      <c r="H41" s="5">
        <v>45435</v>
      </c>
      <c r="I41" s="4">
        <v>197.35</v>
      </c>
      <c r="J41">
        <v>300.11</v>
      </c>
      <c r="L41" s="2" t="s">
        <v>69</v>
      </c>
      <c r="M41" s="2" t="s">
        <v>69</v>
      </c>
      <c r="N41">
        <f t="shared" si="0"/>
        <v>741.61</v>
      </c>
      <c r="O41" t="str">
        <v>top</v>
      </c>
      <c r="P41" t="str">
        <v>midium</v>
      </c>
      <c r="Q41" s="4">
        <v>229.99</v>
      </c>
    </row>
    <row r="42" spans="1:17" ht="15" thickBot="1" x14ac:dyDescent="0.35">
      <c r="A42" s="2" t="s">
        <v>13</v>
      </c>
      <c r="B42" s="2" t="s">
        <v>59</v>
      </c>
      <c r="C42" s="2" t="s">
        <v>40</v>
      </c>
      <c r="D42" s="2" t="s">
        <v>45</v>
      </c>
      <c r="E42" s="4">
        <v>1151.21</v>
      </c>
      <c r="F42" s="4">
        <v>15</v>
      </c>
      <c r="G42" s="4">
        <v>0.1</v>
      </c>
      <c r="H42" s="5">
        <v>45445</v>
      </c>
      <c r="I42" s="4">
        <v>414.44</v>
      </c>
      <c r="J42">
        <v>244.68</v>
      </c>
      <c r="L42" s="2" t="s">
        <v>70</v>
      </c>
      <c r="M42" s="2" t="s">
        <v>70</v>
      </c>
      <c r="N42">
        <f t="shared" si="0"/>
        <v>556.41999999999996</v>
      </c>
      <c r="O42" t="str">
        <v>top</v>
      </c>
      <c r="P42" t="str">
        <v>top</v>
      </c>
      <c r="Q42" s="4">
        <v>197.35</v>
      </c>
    </row>
    <row r="43" spans="1:17" ht="15" thickBot="1" x14ac:dyDescent="0.35">
      <c r="A43" s="2" t="s">
        <v>36</v>
      </c>
      <c r="B43" s="2" t="s">
        <v>50</v>
      </c>
      <c r="C43" s="2" t="s">
        <v>55</v>
      </c>
      <c r="D43" s="2" t="s">
        <v>58</v>
      </c>
      <c r="E43" s="4">
        <v>1025.98</v>
      </c>
      <c r="F43" s="4">
        <v>5</v>
      </c>
      <c r="G43" s="4">
        <v>0.2</v>
      </c>
      <c r="H43" s="5">
        <v>45447</v>
      </c>
      <c r="I43" s="4">
        <v>369.35</v>
      </c>
      <c r="J43">
        <v>150.97</v>
      </c>
      <c r="L43" s="2" t="s">
        <v>59</v>
      </c>
      <c r="M43" s="2" t="s">
        <v>59</v>
      </c>
      <c r="N43" t="e">
        <f t="shared" si="0"/>
        <v>#N/A</v>
      </c>
      <c r="O43" t="str">
        <v>top</v>
      </c>
      <c r="P43" t="str">
        <v>midium</v>
      </c>
      <c r="Q43" s="4">
        <v>414.44</v>
      </c>
    </row>
    <row r="44" spans="1:17" ht="15" thickBot="1" x14ac:dyDescent="0.35">
      <c r="A44" s="2" t="s">
        <v>31</v>
      </c>
      <c r="B44" s="2" t="s">
        <v>68</v>
      </c>
      <c r="C44" s="2" t="s">
        <v>39</v>
      </c>
      <c r="D44" s="2" t="s">
        <v>58</v>
      </c>
      <c r="E44" s="4">
        <v>556.41999999999996</v>
      </c>
      <c r="F44" s="4">
        <v>11</v>
      </c>
      <c r="G44" s="4">
        <v>0.15</v>
      </c>
      <c r="H44" s="5">
        <v>45447</v>
      </c>
      <c r="I44" s="4">
        <v>212.83</v>
      </c>
      <c r="J44">
        <v>169.79</v>
      </c>
      <c r="L44" s="2" t="s">
        <v>50</v>
      </c>
      <c r="M44" s="2" t="s">
        <v>50</v>
      </c>
      <c r="N44">
        <f t="shared" si="0"/>
        <v>1025.98</v>
      </c>
      <c r="O44" t="str">
        <v>low</v>
      </c>
      <c r="P44" t="str">
        <v>low</v>
      </c>
      <c r="Q44" s="4">
        <v>369.35</v>
      </c>
    </row>
    <row r="45" spans="1:17" ht="15" thickBot="1" x14ac:dyDescent="0.35">
      <c r="A45" s="2" t="s">
        <v>29</v>
      </c>
      <c r="B45" s="2" t="s">
        <v>50</v>
      </c>
      <c r="C45" s="2" t="s">
        <v>55</v>
      </c>
      <c r="D45" s="2" t="s">
        <v>45</v>
      </c>
      <c r="E45" s="4">
        <v>840.85</v>
      </c>
      <c r="F45" s="4">
        <v>19</v>
      </c>
      <c r="G45" s="4">
        <v>0.1</v>
      </c>
      <c r="H45" s="5">
        <v>45448</v>
      </c>
      <c r="I45" s="4">
        <v>302.70999999999998</v>
      </c>
      <c r="J45">
        <v>212.53</v>
      </c>
      <c r="L45" s="2" t="s">
        <v>68</v>
      </c>
      <c r="M45" s="2" t="s">
        <v>68</v>
      </c>
      <c r="N45">
        <f t="shared" si="0"/>
        <v>1227.25</v>
      </c>
      <c r="O45" t="str">
        <v>top</v>
      </c>
      <c r="P45" t="str">
        <v>midium</v>
      </c>
      <c r="Q45" s="4">
        <v>212.83</v>
      </c>
    </row>
    <row r="46" spans="1:17" ht="15" thickBot="1" x14ac:dyDescent="0.35">
      <c r="A46" s="2" t="s">
        <v>34</v>
      </c>
      <c r="B46" s="2" t="s">
        <v>70</v>
      </c>
      <c r="C46" s="2" t="s">
        <v>42</v>
      </c>
      <c r="D46" s="2" t="s">
        <v>46</v>
      </c>
      <c r="E46" s="4">
        <v>1227.25</v>
      </c>
      <c r="F46" s="4">
        <v>12</v>
      </c>
      <c r="G46" s="4">
        <v>0.15</v>
      </c>
      <c r="H46" s="5">
        <v>45448</v>
      </c>
      <c r="I46" s="4">
        <v>365.11</v>
      </c>
      <c r="J46">
        <v>156.29</v>
      </c>
      <c r="L46" s="2" t="s">
        <v>50</v>
      </c>
      <c r="M46" s="2" t="s">
        <v>50</v>
      </c>
      <c r="N46">
        <f t="shared" si="0"/>
        <v>775.45</v>
      </c>
      <c r="O46" t="str">
        <v>top</v>
      </c>
      <c r="P46" t="str">
        <v>top</v>
      </c>
      <c r="Q46" s="4">
        <v>302.70999999999998</v>
      </c>
    </row>
    <row r="47" spans="1:17" ht="15" thickBot="1" x14ac:dyDescent="0.35">
      <c r="A47" s="2" t="s">
        <v>25</v>
      </c>
      <c r="B47" s="2" t="s">
        <v>71</v>
      </c>
      <c r="C47" s="2" t="s">
        <v>55</v>
      </c>
      <c r="D47" s="2" t="s">
        <v>44</v>
      </c>
      <c r="E47" s="4">
        <v>856.7</v>
      </c>
      <c r="F47" s="4">
        <v>2</v>
      </c>
      <c r="G47" s="4">
        <v>0</v>
      </c>
      <c r="H47" s="5">
        <v>45449</v>
      </c>
      <c r="I47" s="4">
        <v>214.18</v>
      </c>
      <c r="J47">
        <v>158.74</v>
      </c>
      <c r="L47" s="2" t="s">
        <v>70</v>
      </c>
      <c r="M47" s="2" t="s">
        <v>70</v>
      </c>
      <c r="N47">
        <f t="shared" si="0"/>
        <v>933.71</v>
      </c>
      <c r="O47" t="str">
        <v>top</v>
      </c>
      <c r="P47" t="str">
        <v>midium</v>
      </c>
      <c r="Q47" s="4">
        <v>365.11</v>
      </c>
    </row>
    <row r="48" spans="1:17" ht="15" thickBot="1" x14ac:dyDescent="0.35">
      <c r="A48" s="2" t="s">
        <v>33</v>
      </c>
      <c r="B48" s="2" t="s">
        <v>68</v>
      </c>
      <c r="C48" s="2" t="s">
        <v>55</v>
      </c>
      <c r="D48" s="2" t="s">
        <v>58</v>
      </c>
      <c r="E48" s="4">
        <v>1225.42</v>
      </c>
      <c r="F48" s="4">
        <v>8</v>
      </c>
      <c r="G48" s="4">
        <v>0.15</v>
      </c>
      <c r="H48" s="5">
        <v>45449</v>
      </c>
      <c r="I48" s="4">
        <v>468.72</v>
      </c>
      <c r="J48">
        <v>239.93</v>
      </c>
      <c r="L48" s="2" t="s">
        <v>71</v>
      </c>
      <c r="M48" s="2" t="s">
        <v>71</v>
      </c>
      <c r="N48" t="e">
        <f t="shared" si="0"/>
        <v>#N/A</v>
      </c>
      <c r="O48" t="str">
        <v>low</v>
      </c>
      <c r="P48" t="str">
        <v>low</v>
      </c>
      <c r="Q48" s="4">
        <v>214.18</v>
      </c>
    </row>
    <row r="49" spans="1:17" ht="15" thickBot="1" x14ac:dyDescent="0.35">
      <c r="A49" s="2" t="s">
        <v>19</v>
      </c>
      <c r="B49" s="2" t="s">
        <v>53</v>
      </c>
      <c r="C49" s="2" t="s">
        <v>42</v>
      </c>
      <c r="D49" s="2" t="s">
        <v>58</v>
      </c>
      <c r="E49" s="4">
        <v>1001.57</v>
      </c>
      <c r="F49" s="4">
        <v>12</v>
      </c>
      <c r="G49" s="4">
        <v>0</v>
      </c>
      <c r="H49" s="5">
        <v>45450</v>
      </c>
      <c r="I49" s="4">
        <v>450.71</v>
      </c>
      <c r="J49">
        <v>36.020000000000003</v>
      </c>
      <c r="L49" s="2" t="s">
        <v>68</v>
      </c>
      <c r="M49" s="2" t="s">
        <v>68</v>
      </c>
      <c r="N49" t="e">
        <f t="shared" si="0"/>
        <v>#N/A</v>
      </c>
      <c r="O49" t="str">
        <v>low</v>
      </c>
      <c r="P49" t="str">
        <v>low</v>
      </c>
      <c r="Q49" s="4">
        <v>468.72</v>
      </c>
    </row>
    <row r="50" spans="1:17" ht="15" thickBot="1" x14ac:dyDescent="0.35">
      <c r="A50" s="2" t="s">
        <v>29</v>
      </c>
      <c r="B50" s="2" t="s">
        <v>51</v>
      </c>
      <c r="C50" s="2" t="s">
        <v>39</v>
      </c>
      <c r="D50" s="2" t="s">
        <v>46</v>
      </c>
      <c r="E50" s="4">
        <v>1186.8499999999999</v>
      </c>
      <c r="F50" s="4">
        <v>19</v>
      </c>
      <c r="G50" s="4">
        <v>0.2</v>
      </c>
      <c r="H50" s="5">
        <v>45451</v>
      </c>
      <c r="I50" s="4">
        <v>332.32</v>
      </c>
      <c r="J50">
        <v>51.86</v>
      </c>
      <c r="L50" s="2" t="s">
        <v>53</v>
      </c>
      <c r="M50" s="2" t="s">
        <v>53</v>
      </c>
      <c r="N50">
        <f t="shared" si="0"/>
        <v>1248.82</v>
      </c>
      <c r="O50" t="str">
        <v>top</v>
      </c>
      <c r="P50" t="str">
        <v>midium</v>
      </c>
      <c r="Q50" s="4">
        <v>450.71</v>
      </c>
    </row>
    <row r="51" spans="1:17" ht="15" thickBot="1" x14ac:dyDescent="0.35">
      <c r="A51" s="2" t="s">
        <v>16</v>
      </c>
      <c r="B51" s="2" t="s">
        <v>65</v>
      </c>
      <c r="C51" s="2" t="s">
        <v>40</v>
      </c>
      <c r="D51" s="2" t="s">
        <v>44</v>
      </c>
      <c r="E51" s="4">
        <v>775.45</v>
      </c>
      <c r="F51" s="4">
        <v>6</v>
      </c>
      <c r="G51" s="4">
        <v>0.1</v>
      </c>
      <c r="H51" s="5">
        <v>45457</v>
      </c>
      <c r="I51" s="4">
        <v>174.48</v>
      </c>
      <c r="J51">
        <v>213.74</v>
      </c>
      <c r="L51" s="2" t="s">
        <v>51</v>
      </c>
      <c r="M51" s="2" t="s">
        <v>51</v>
      </c>
      <c r="N51" t="e">
        <f t="shared" si="0"/>
        <v>#N/A</v>
      </c>
      <c r="O51" t="str">
        <v>top</v>
      </c>
      <c r="P51" t="str">
        <v>top</v>
      </c>
      <c r="Q51" s="4">
        <v>332.32</v>
      </c>
    </row>
    <row r="52" spans="1:17" ht="15" thickBot="1" x14ac:dyDescent="0.35">
      <c r="A52" s="2" t="s">
        <v>15</v>
      </c>
      <c r="B52" s="2" t="s">
        <v>54</v>
      </c>
      <c r="C52" s="2" t="s">
        <v>40</v>
      </c>
      <c r="D52" s="2" t="s">
        <v>44</v>
      </c>
      <c r="E52" s="4">
        <v>1021.47</v>
      </c>
      <c r="F52" s="4">
        <v>6</v>
      </c>
      <c r="G52" s="4">
        <v>0.05</v>
      </c>
      <c r="H52" s="5">
        <v>45461</v>
      </c>
      <c r="I52" s="4">
        <v>242.6</v>
      </c>
      <c r="J52">
        <v>418.47</v>
      </c>
      <c r="L52" s="2" t="s">
        <v>65</v>
      </c>
      <c r="M52" s="2" t="s">
        <v>65</v>
      </c>
      <c r="N52" t="e">
        <f t="shared" si="0"/>
        <v>#N/A</v>
      </c>
      <c r="O52" t="str">
        <v>low</v>
      </c>
      <c r="P52" t="str">
        <v>low</v>
      </c>
      <c r="Q52" s="4">
        <v>174.48</v>
      </c>
    </row>
    <row r="53" spans="1:17" ht="15" thickBot="1" x14ac:dyDescent="0.35">
      <c r="A53" s="2" t="s">
        <v>23</v>
      </c>
      <c r="B53" s="2" t="s">
        <v>50</v>
      </c>
      <c r="C53" s="2" t="s">
        <v>40</v>
      </c>
      <c r="D53" s="2" t="s">
        <v>43</v>
      </c>
      <c r="E53" s="4">
        <v>1226.6199999999999</v>
      </c>
      <c r="F53" s="4">
        <v>7</v>
      </c>
      <c r="G53" s="4">
        <v>0.1</v>
      </c>
      <c r="H53" s="5">
        <v>45463</v>
      </c>
      <c r="I53" s="4">
        <v>551.98</v>
      </c>
      <c r="J53">
        <v>131.57</v>
      </c>
      <c r="L53" s="2" t="s">
        <v>54</v>
      </c>
      <c r="M53" s="2" t="s">
        <v>54</v>
      </c>
      <c r="N53">
        <f t="shared" si="0"/>
        <v>1291.47</v>
      </c>
      <c r="O53" t="str">
        <v>low</v>
      </c>
      <c r="P53" t="str">
        <v>low</v>
      </c>
      <c r="Q53" s="4">
        <v>242.6</v>
      </c>
    </row>
    <row r="54" spans="1:17" ht="15" thickBot="1" x14ac:dyDescent="0.35">
      <c r="A54" s="2" t="s">
        <v>38</v>
      </c>
      <c r="B54" s="2" t="s">
        <v>72</v>
      </c>
      <c r="C54" s="2" t="s">
        <v>40</v>
      </c>
      <c r="D54" s="2" t="s">
        <v>46</v>
      </c>
      <c r="E54" s="4">
        <v>1086.93</v>
      </c>
      <c r="F54" s="4">
        <v>2</v>
      </c>
      <c r="G54" s="4">
        <v>0</v>
      </c>
      <c r="H54" s="5">
        <v>45464</v>
      </c>
      <c r="I54" s="4">
        <v>380.43</v>
      </c>
      <c r="J54">
        <v>182.14</v>
      </c>
      <c r="L54" s="2" t="s">
        <v>50</v>
      </c>
      <c r="M54" s="2" t="s">
        <v>50</v>
      </c>
      <c r="N54">
        <f t="shared" si="0"/>
        <v>1005.53</v>
      </c>
      <c r="O54" t="str">
        <v>low</v>
      </c>
      <c r="P54" t="str">
        <v>low</v>
      </c>
      <c r="Q54" s="4">
        <v>551.98</v>
      </c>
    </row>
    <row r="55" spans="1:17" ht="15" thickBot="1" x14ac:dyDescent="0.35">
      <c r="A55" s="2" t="s">
        <v>10</v>
      </c>
      <c r="B55" s="2" t="s">
        <v>63</v>
      </c>
      <c r="C55" s="2" t="s">
        <v>41</v>
      </c>
      <c r="D55" s="2" t="s">
        <v>45</v>
      </c>
      <c r="E55" s="4">
        <v>942.9</v>
      </c>
      <c r="F55" s="4">
        <v>18</v>
      </c>
      <c r="G55" s="4">
        <v>0.1</v>
      </c>
      <c r="H55" s="5">
        <v>45466</v>
      </c>
      <c r="I55" s="4">
        <v>339.44</v>
      </c>
      <c r="J55">
        <v>32.67</v>
      </c>
      <c r="L55" s="2" t="s">
        <v>72</v>
      </c>
      <c r="M55" s="2" t="s">
        <v>72</v>
      </c>
      <c r="N55">
        <f t="shared" si="0"/>
        <v>919.04</v>
      </c>
      <c r="O55" t="str">
        <v>low</v>
      </c>
      <c r="P55" t="str">
        <v>low</v>
      </c>
      <c r="Q55" s="4">
        <v>380.43</v>
      </c>
    </row>
    <row r="56" spans="1:17" ht="15" thickBot="1" x14ac:dyDescent="0.35">
      <c r="A56" s="2" t="s">
        <v>17</v>
      </c>
      <c r="B56" s="2" t="s">
        <v>57</v>
      </c>
      <c r="C56" s="2" t="s">
        <v>42</v>
      </c>
      <c r="D56" s="2" t="s">
        <v>44</v>
      </c>
      <c r="E56" s="4">
        <v>818.8</v>
      </c>
      <c r="F56" s="4">
        <v>15</v>
      </c>
      <c r="G56" s="4">
        <v>0.15</v>
      </c>
      <c r="H56" s="5">
        <v>45468</v>
      </c>
      <c r="I56" s="4">
        <v>173.99</v>
      </c>
      <c r="J56">
        <v>35.770000000000003</v>
      </c>
      <c r="L56" s="2" t="s">
        <v>63</v>
      </c>
      <c r="M56" s="2" t="s">
        <v>63</v>
      </c>
      <c r="N56">
        <f t="shared" si="0"/>
        <v>1143.69</v>
      </c>
      <c r="O56" t="str">
        <v>top</v>
      </c>
      <c r="P56" t="str">
        <v>top</v>
      </c>
      <c r="Q56" s="4">
        <v>339.44</v>
      </c>
    </row>
    <row r="57" spans="1:17" ht="15" thickBot="1" x14ac:dyDescent="0.35">
      <c r="A57" s="2" t="s">
        <v>13</v>
      </c>
      <c r="B57" s="2" t="s">
        <v>48</v>
      </c>
      <c r="C57" s="2" t="s">
        <v>40</v>
      </c>
      <c r="D57" s="2" t="s">
        <v>46</v>
      </c>
      <c r="E57" s="4">
        <v>919.04</v>
      </c>
      <c r="F57" s="4">
        <v>10</v>
      </c>
      <c r="G57" s="4">
        <v>0.2</v>
      </c>
      <c r="H57" s="5">
        <v>45468</v>
      </c>
      <c r="I57" s="4">
        <v>257.33</v>
      </c>
      <c r="J57">
        <v>65.62</v>
      </c>
      <c r="L57" s="2" t="s">
        <v>57</v>
      </c>
      <c r="M57" s="2" t="s">
        <v>57</v>
      </c>
      <c r="N57">
        <f t="shared" si="0"/>
        <v>973.26</v>
      </c>
      <c r="O57" t="str">
        <v>top</v>
      </c>
      <c r="P57" t="str">
        <v>midium</v>
      </c>
      <c r="Q57" s="4">
        <v>173.99</v>
      </c>
    </row>
    <row r="58" spans="1:17" ht="15" thickBot="1" x14ac:dyDescent="0.35">
      <c r="A58" s="2" t="s">
        <v>38</v>
      </c>
      <c r="B58" s="2" t="s">
        <v>73</v>
      </c>
      <c r="C58" s="2" t="s">
        <v>55</v>
      </c>
      <c r="D58" s="2" t="s">
        <v>45</v>
      </c>
      <c r="E58" s="4">
        <v>973.26</v>
      </c>
      <c r="F58" s="4">
        <v>11</v>
      </c>
      <c r="G58" s="4">
        <v>0</v>
      </c>
      <c r="H58" s="5">
        <v>45470</v>
      </c>
      <c r="I58" s="4">
        <v>389.3</v>
      </c>
      <c r="J58">
        <v>28.28</v>
      </c>
      <c r="L58" s="2" t="s">
        <v>48</v>
      </c>
      <c r="M58" s="2" t="s">
        <v>48</v>
      </c>
      <c r="N58">
        <f t="shared" si="0"/>
        <v>1264.49</v>
      </c>
      <c r="O58" t="str">
        <v>low</v>
      </c>
      <c r="P58" t="str">
        <v>low</v>
      </c>
      <c r="Q58" s="4">
        <v>257.33</v>
      </c>
    </row>
    <row r="59" spans="1:17" ht="15" thickBot="1" x14ac:dyDescent="0.35">
      <c r="A59" s="2" t="s">
        <v>37</v>
      </c>
      <c r="B59" s="2" t="s">
        <v>72</v>
      </c>
      <c r="C59" s="2" t="s">
        <v>42</v>
      </c>
      <c r="D59" s="2" t="s">
        <v>44</v>
      </c>
      <c r="E59" s="4">
        <v>741.61</v>
      </c>
      <c r="F59" s="4">
        <v>1</v>
      </c>
      <c r="G59" s="4">
        <v>0.2</v>
      </c>
      <c r="H59" s="5">
        <v>45471</v>
      </c>
      <c r="I59" s="4">
        <v>148.32</v>
      </c>
      <c r="J59">
        <v>348.54</v>
      </c>
      <c r="L59" s="2" t="s">
        <v>73</v>
      </c>
      <c r="M59" s="2" t="s">
        <v>73</v>
      </c>
      <c r="N59">
        <f t="shared" si="0"/>
        <v>1154.33</v>
      </c>
      <c r="O59" t="str">
        <v>top</v>
      </c>
      <c r="P59" t="str">
        <v>midium</v>
      </c>
      <c r="Q59" s="4">
        <v>389.3</v>
      </c>
    </row>
    <row r="60" spans="1:17" ht="15" thickBot="1" x14ac:dyDescent="0.35">
      <c r="A60" s="2" t="s">
        <v>11</v>
      </c>
      <c r="B60" s="2" t="s">
        <v>57</v>
      </c>
      <c r="C60" s="2" t="s">
        <v>42</v>
      </c>
      <c r="D60" s="2" t="s">
        <v>45</v>
      </c>
      <c r="E60" s="4">
        <v>1248.82</v>
      </c>
      <c r="F60" s="4">
        <v>2</v>
      </c>
      <c r="G60" s="4">
        <v>0.1</v>
      </c>
      <c r="H60" s="5">
        <v>45473</v>
      </c>
      <c r="I60" s="4">
        <v>449.58</v>
      </c>
      <c r="J60">
        <v>161.41999999999999</v>
      </c>
      <c r="L60" s="2" t="s">
        <v>72</v>
      </c>
      <c r="M60" s="2" t="s">
        <v>72</v>
      </c>
      <c r="N60">
        <f t="shared" si="0"/>
        <v>1335.87</v>
      </c>
      <c r="O60" t="str">
        <v>low</v>
      </c>
      <c r="P60" t="str">
        <v>low</v>
      </c>
      <c r="Q60" s="4">
        <v>148.32</v>
      </c>
    </row>
    <row r="61" spans="1:17" ht="15" thickBot="1" x14ac:dyDescent="0.35">
      <c r="A61" s="2" t="s">
        <v>20</v>
      </c>
      <c r="B61" s="2" t="s">
        <v>69</v>
      </c>
      <c r="C61" s="2" t="s">
        <v>41</v>
      </c>
      <c r="D61" s="2" t="s">
        <v>43</v>
      </c>
      <c r="E61" s="4">
        <v>1360.36</v>
      </c>
      <c r="F61" s="4">
        <v>17</v>
      </c>
      <c r="G61" s="4">
        <v>0</v>
      </c>
      <c r="H61" s="5">
        <v>45473</v>
      </c>
      <c r="I61" s="4">
        <v>680.18</v>
      </c>
      <c r="J61">
        <v>166.24</v>
      </c>
      <c r="L61" s="2" t="s">
        <v>57</v>
      </c>
      <c r="M61" s="2" t="s">
        <v>57</v>
      </c>
      <c r="N61">
        <f t="shared" si="0"/>
        <v>539.77</v>
      </c>
      <c r="O61" t="str">
        <v>low</v>
      </c>
      <c r="P61" t="str">
        <v>low</v>
      </c>
      <c r="Q61" s="4">
        <v>449.58</v>
      </c>
    </row>
    <row r="62" spans="1:17" ht="15" thickBot="1" x14ac:dyDescent="0.35">
      <c r="A62" s="2" t="s">
        <v>29</v>
      </c>
      <c r="B62" s="2" t="s">
        <v>53</v>
      </c>
      <c r="C62" s="2" t="s">
        <v>39</v>
      </c>
      <c r="D62" s="2" t="s">
        <v>45</v>
      </c>
      <c r="E62" s="4">
        <v>1383.3</v>
      </c>
      <c r="F62" s="4">
        <v>8</v>
      </c>
      <c r="G62" s="4">
        <v>0.1</v>
      </c>
      <c r="H62" s="5">
        <v>45478</v>
      </c>
      <c r="I62" s="4">
        <v>497.99</v>
      </c>
      <c r="J62">
        <v>57.24</v>
      </c>
      <c r="L62" s="2" t="s">
        <v>69</v>
      </c>
      <c r="M62" s="2" t="s">
        <v>69</v>
      </c>
      <c r="N62" t="e">
        <f t="shared" si="0"/>
        <v>#N/A</v>
      </c>
      <c r="O62" t="str">
        <v>top</v>
      </c>
      <c r="P62" t="str">
        <v>top</v>
      </c>
      <c r="Q62" s="4">
        <v>680.18</v>
      </c>
    </row>
    <row r="63" spans="1:17" ht="15" thickBot="1" x14ac:dyDescent="0.35">
      <c r="A63" s="2" t="s">
        <v>18</v>
      </c>
      <c r="B63" s="2" t="s">
        <v>67</v>
      </c>
      <c r="C63" s="2" t="s">
        <v>55</v>
      </c>
      <c r="D63" s="2" t="s">
        <v>58</v>
      </c>
      <c r="E63" s="4">
        <v>488.99</v>
      </c>
      <c r="F63" s="4">
        <v>9</v>
      </c>
      <c r="G63" s="4">
        <v>0</v>
      </c>
      <c r="H63" s="5">
        <v>45479</v>
      </c>
      <c r="I63" s="4">
        <v>220.05</v>
      </c>
      <c r="J63">
        <v>441.91</v>
      </c>
      <c r="L63" s="2" t="s">
        <v>53</v>
      </c>
      <c r="M63" s="2" t="s">
        <v>53</v>
      </c>
      <c r="N63">
        <f t="shared" si="0"/>
        <v>1383.3</v>
      </c>
      <c r="O63" t="str">
        <v>low</v>
      </c>
      <c r="P63" t="str">
        <v>low</v>
      </c>
      <c r="Q63" s="4">
        <v>497.99</v>
      </c>
    </row>
    <row r="64" spans="1:17" ht="15" thickBot="1" x14ac:dyDescent="0.35">
      <c r="A64" s="2" t="s">
        <v>34</v>
      </c>
      <c r="B64" s="2" t="s">
        <v>53</v>
      </c>
      <c r="C64" s="2" t="s">
        <v>39</v>
      </c>
      <c r="D64" s="2" t="s">
        <v>46</v>
      </c>
      <c r="E64" s="4">
        <v>933.71</v>
      </c>
      <c r="F64" s="4">
        <v>17</v>
      </c>
      <c r="G64" s="4">
        <v>0.1</v>
      </c>
      <c r="H64" s="5">
        <v>45481</v>
      </c>
      <c r="I64" s="4">
        <v>294.12</v>
      </c>
      <c r="J64">
        <v>176.91</v>
      </c>
      <c r="L64" s="2" t="s">
        <v>67</v>
      </c>
      <c r="M64" s="2" t="s">
        <v>67</v>
      </c>
      <c r="N64">
        <f t="shared" si="0"/>
        <v>1034.7</v>
      </c>
      <c r="O64" t="str">
        <v>low</v>
      </c>
      <c r="P64" t="str">
        <v>low</v>
      </c>
      <c r="Q64" s="4">
        <v>220.05</v>
      </c>
    </row>
    <row r="65" spans="1:17" ht="15" thickBot="1" x14ac:dyDescent="0.35">
      <c r="A65" s="2" t="s">
        <v>11</v>
      </c>
      <c r="B65" s="2" t="s">
        <v>47</v>
      </c>
      <c r="C65" s="2" t="s">
        <v>41</v>
      </c>
      <c r="D65" s="2" t="s">
        <v>44</v>
      </c>
      <c r="E65" s="4">
        <v>1005.53</v>
      </c>
      <c r="F65" s="4">
        <v>17</v>
      </c>
      <c r="G65" s="4">
        <v>0.2</v>
      </c>
      <c r="H65" s="5">
        <v>45481</v>
      </c>
      <c r="I65" s="4">
        <v>201.11</v>
      </c>
      <c r="J65">
        <v>386.61</v>
      </c>
      <c r="L65" s="2" t="s">
        <v>53</v>
      </c>
      <c r="M65" s="2" t="s">
        <v>53</v>
      </c>
      <c r="N65">
        <f t="shared" si="0"/>
        <v>1100.0999999999999</v>
      </c>
      <c r="O65" t="str">
        <v>top</v>
      </c>
      <c r="P65" t="str">
        <v>top</v>
      </c>
      <c r="Q65" s="4">
        <v>294.12</v>
      </c>
    </row>
    <row r="66" spans="1:17" ht="15" thickBot="1" x14ac:dyDescent="0.35">
      <c r="A66" s="2" t="s">
        <v>37</v>
      </c>
      <c r="B66" s="2" t="s">
        <v>70</v>
      </c>
      <c r="C66" s="2" t="s">
        <v>40</v>
      </c>
      <c r="D66" s="2" t="s">
        <v>44</v>
      </c>
      <c r="E66" s="4">
        <v>1100.0999999999999</v>
      </c>
      <c r="F66" s="4">
        <v>5</v>
      </c>
      <c r="G66" s="4">
        <v>0.05</v>
      </c>
      <c r="H66" s="5">
        <v>45482</v>
      </c>
      <c r="I66" s="4">
        <v>261.27</v>
      </c>
      <c r="J66">
        <v>112.75</v>
      </c>
      <c r="L66" s="2" t="s">
        <v>47</v>
      </c>
      <c r="M66" s="2" t="s">
        <v>47</v>
      </c>
      <c r="N66">
        <f t="shared" si="0"/>
        <v>1371.34</v>
      </c>
      <c r="O66" t="str">
        <v>top</v>
      </c>
      <c r="P66" t="str">
        <v>top</v>
      </c>
      <c r="Q66" s="4">
        <v>201.11</v>
      </c>
    </row>
    <row r="67" spans="1:17" ht="15" thickBot="1" x14ac:dyDescent="0.35">
      <c r="A67" s="2" t="s">
        <v>11</v>
      </c>
      <c r="B67" s="2" t="s">
        <v>50</v>
      </c>
      <c r="C67" s="2" t="s">
        <v>42</v>
      </c>
      <c r="D67" s="2" t="s">
        <v>46</v>
      </c>
      <c r="E67" s="4">
        <v>1034.7</v>
      </c>
      <c r="F67" s="4">
        <v>15</v>
      </c>
      <c r="G67" s="4">
        <v>0.15</v>
      </c>
      <c r="H67" s="5">
        <v>45487</v>
      </c>
      <c r="I67" s="4">
        <v>307.82</v>
      </c>
      <c r="J67">
        <v>137</v>
      </c>
      <c r="L67" s="2" t="s">
        <v>70</v>
      </c>
      <c r="M67" s="2" t="s">
        <v>70</v>
      </c>
      <c r="N67">
        <f t="shared" si="0"/>
        <v>966.3</v>
      </c>
      <c r="O67" t="str">
        <v>low</v>
      </c>
      <c r="P67" t="str">
        <v>low</v>
      </c>
      <c r="Q67" s="4">
        <v>261.27</v>
      </c>
    </row>
    <row r="68" spans="1:17" ht="15" thickBot="1" x14ac:dyDescent="0.35">
      <c r="A68" s="2" t="s">
        <v>10</v>
      </c>
      <c r="B68" s="2" t="s">
        <v>53</v>
      </c>
      <c r="C68" s="2" t="s">
        <v>40</v>
      </c>
      <c r="D68" s="2" t="s">
        <v>45</v>
      </c>
      <c r="E68" s="4">
        <v>876.44</v>
      </c>
      <c r="F68" s="4">
        <v>12</v>
      </c>
      <c r="G68" s="4">
        <v>0.05</v>
      </c>
      <c r="H68" s="5">
        <v>45488</v>
      </c>
      <c r="I68" s="4">
        <v>333.05</v>
      </c>
      <c r="J68">
        <v>209.91</v>
      </c>
      <c r="L68" s="2" t="s">
        <v>50</v>
      </c>
      <c r="M68" s="2" t="s">
        <v>50</v>
      </c>
      <c r="N68">
        <f t="shared" ref="N68:N102" si="1">INDEX(A66:J166,MATCH(L68,B68:B166,0),5)</f>
        <v>873.7</v>
      </c>
      <c r="O68" t="str">
        <v>top</v>
      </c>
      <c r="P68" t="str">
        <v>midium</v>
      </c>
      <c r="Q68" s="4">
        <v>307.82</v>
      </c>
    </row>
    <row r="69" spans="1:17" ht="15" thickBot="1" x14ac:dyDescent="0.35">
      <c r="A69" s="2" t="s">
        <v>28</v>
      </c>
      <c r="B69" s="2" t="s">
        <v>67</v>
      </c>
      <c r="C69" s="2" t="s">
        <v>41</v>
      </c>
      <c r="D69" s="2" t="s">
        <v>46</v>
      </c>
      <c r="E69" s="4">
        <v>1371.34</v>
      </c>
      <c r="F69" s="4">
        <v>5</v>
      </c>
      <c r="G69" s="4">
        <v>0.05</v>
      </c>
      <c r="H69" s="5">
        <v>45488</v>
      </c>
      <c r="I69" s="4">
        <v>455.97</v>
      </c>
      <c r="J69">
        <v>223.24</v>
      </c>
      <c r="L69" s="2" t="s">
        <v>53</v>
      </c>
      <c r="M69" s="2" t="s">
        <v>53</v>
      </c>
      <c r="N69">
        <f t="shared" si="1"/>
        <v>518.07000000000005</v>
      </c>
      <c r="O69" t="str">
        <v>top</v>
      </c>
      <c r="P69" t="str">
        <v>midium</v>
      </c>
      <c r="Q69" s="4">
        <v>333.05</v>
      </c>
    </row>
    <row r="70" spans="1:17" ht="15" thickBot="1" x14ac:dyDescent="0.35">
      <c r="A70" s="2" t="s">
        <v>29</v>
      </c>
      <c r="B70" s="2" t="s">
        <v>62</v>
      </c>
      <c r="C70" s="2" t="s">
        <v>42</v>
      </c>
      <c r="D70" s="2" t="s">
        <v>44</v>
      </c>
      <c r="E70" s="4">
        <v>1020.26</v>
      </c>
      <c r="F70" s="4">
        <v>11</v>
      </c>
      <c r="G70" s="4">
        <v>0.05</v>
      </c>
      <c r="H70" s="5">
        <v>45494</v>
      </c>
      <c r="I70" s="4">
        <v>242.31</v>
      </c>
      <c r="J70">
        <v>167.21</v>
      </c>
      <c r="L70" s="2" t="s">
        <v>67</v>
      </c>
      <c r="M70" s="2" t="s">
        <v>67</v>
      </c>
      <c r="N70">
        <f t="shared" si="1"/>
        <v>1020.26</v>
      </c>
      <c r="O70" t="str">
        <v>low</v>
      </c>
      <c r="P70" t="str">
        <v>low</v>
      </c>
      <c r="Q70" s="4">
        <v>455.97</v>
      </c>
    </row>
    <row r="71" spans="1:17" ht="15" thickBot="1" x14ac:dyDescent="0.35">
      <c r="A71" s="2" t="s">
        <v>16</v>
      </c>
      <c r="B71" s="2" t="s">
        <v>47</v>
      </c>
      <c r="C71" s="2" t="s">
        <v>55</v>
      </c>
      <c r="D71" s="2" t="s">
        <v>58</v>
      </c>
      <c r="E71" s="4">
        <v>804.81</v>
      </c>
      <c r="F71" s="4">
        <v>1</v>
      </c>
      <c r="G71" s="4">
        <v>0.05</v>
      </c>
      <c r="H71" s="5">
        <v>45502</v>
      </c>
      <c r="I71" s="4">
        <v>344.06</v>
      </c>
      <c r="J71">
        <v>100.77</v>
      </c>
      <c r="L71" s="2" t="s">
        <v>62</v>
      </c>
      <c r="M71" s="2" t="s">
        <v>62</v>
      </c>
      <c r="N71">
        <f t="shared" si="1"/>
        <v>875.41</v>
      </c>
      <c r="O71" t="str">
        <v>top</v>
      </c>
      <c r="P71" t="str">
        <v>midium</v>
      </c>
      <c r="Q71" s="4">
        <v>242.31</v>
      </c>
    </row>
    <row r="72" spans="1:17" ht="15" thickBot="1" x14ac:dyDescent="0.35">
      <c r="A72" s="2" t="s">
        <v>38</v>
      </c>
      <c r="B72" s="2" t="s">
        <v>67</v>
      </c>
      <c r="C72" s="2" t="s">
        <v>55</v>
      </c>
      <c r="D72" s="2" t="s">
        <v>44</v>
      </c>
      <c r="E72" s="4">
        <v>608.66</v>
      </c>
      <c r="F72" s="4">
        <v>1</v>
      </c>
      <c r="G72" s="4">
        <v>0.05</v>
      </c>
      <c r="H72" s="5">
        <v>45503</v>
      </c>
      <c r="I72" s="4">
        <v>144.56</v>
      </c>
      <c r="J72">
        <v>55.74</v>
      </c>
      <c r="L72" s="2" t="s">
        <v>47</v>
      </c>
      <c r="M72" s="2" t="s">
        <v>47</v>
      </c>
      <c r="N72">
        <f t="shared" si="1"/>
        <v>1070.68</v>
      </c>
      <c r="O72" t="str">
        <v>low</v>
      </c>
      <c r="P72" t="str">
        <v>low</v>
      </c>
      <c r="Q72" s="4">
        <v>344.06</v>
      </c>
    </row>
    <row r="73" spans="1:17" ht="15" thickBot="1" x14ac:dyDescent="0.35">
      <c r="A73" s="2" t="s">
        <v>28</v>
      </c>
      <c r="B73" s="2" t="s">
        <v>74</v>
      </c>
      <c r="C73" s="2" t="s">
        <v>40</v>
      </c>
      <c r="D73" s="2" t="s">
        <v>58</v>
      </c>
      <c r="E73" s="4">
        <v>981.2</v>
      </c>
      <c r="F73" s="4">
        <v>19</v>
      </c>
      <c r="G73" s="4">
        <v>0</v>
      </c>
      <c r="H73" s="5">
        <v>45504</v>
      </c>
      <c r="I73" s="4">
        <v>441.54</v>
      </c>
      <c r="J73">
        <v>17.91</v>
      </c>
      <c r="L73" s="2" t="s">
        <v>67</v>
      </c>
      <c r="M73" s="2" t="s">
        <v>67</v>
      </c>
      <c r="N73">
        <f t="shared" si="1"/>
        <v>608.66</v>
      </c>
      <c r="O73" t="str">
        <v>low</v>
      </c>
      <c r="P73" t="str">
        <v>low</v>
      </c>
      <c r="Q73" s="4">
        <v>144.56</v>
      </c>
    </row>
    <row r="74" spans="1:17" ht="15" thickBot="1" x14ac:dyDescent="0.35">
      <c r="A74" s="2" t="s">
        <v>32</v>
      </c>
      <c r="B74" s="2" t="s">
        <v>67</v>
      </c>
      <c r="C74" s="2" t="s">
        <v>39</v>
      </c>
      <c r="D74" s="2" t="s">
        <v>44</v>
      </c>
      <c r="E74" s="4">
        <v>539.77</v>
      </c>
      <c r="F74" s="4">
        <v>10</v>
      </c>
      <c r="G74" s="4">
        <v>0.15</v>
      </c>
      <c r="H74" s="5">
        <v>45509</v>
      </c>
      <c r="I74" s="4">
        <v>114.7</v>
      </c>
      <c r="J74">
        <v>34.17</v>
      </c>
      <c r="L74" s="2" t="s">
        <v>74</v>
      </c>
      <c r="M74" s="2" t="s">
        <v>74</v>
      </c>
      <c r="N74" t="e">
        <f t="shared" si="1"/>
        <v>#N/A</v>
      </c>
      <c r="O74" t="str">
        <v>top</v>
      </c>
      <c r="P74" t="str">
        <v>top</v>
      </c>
      <c r="Q74" s="4">
        <v>441.54</v>
      </c>
    </row>
    <row r="75" spans="1:17" ht="15" thickBot="1" x14ac:dyDescent="0.35">
      <c r="A75" s="2" t="s">
        <v>20</v>
      </c>
      <c r="B75" s="2" t="s">
        <v>75</v>
      </c>
      <c r="C75" s="2" t="s">
        <v>40</v>
      </c>
      <c r="D75" s="2" t="s">
        <v>45</v>
      </c>
      <c r="E75" s="4">
        <v>804.45</v>
      </c>
      <c r="F75" s="4">
        <v>5</v>
      </c>
      <c r="G75" s="4">
        <v>0.2</v>
      </c>
      <c r="H75" s="5">
        <v>45509</v>
      </c>
      <c r="I75" s="4">
        <v>257.42</v>
      </c>
      <c r="J75">
        <v>53.09</v>
      </c>
      <c r="L75" s="2" t="s">
        <v>67</v>
      </c>
      <c r="M75" s="2" t="s">
        <v>67</v>
      </c>
      <c r="N75">
        <f t="shared" si="1"/>
        <v>1111.3399999999999</v>
      </c>
      <c r="O75" t="str">
        <v>low</v>
      </c>
      <c r="P75" t="str">
        <v>low</v>
      </c>
      <c r="Q75" s="4">
        <v>114.7</v>
      </c>
    </row>
    <row r="76" spans="1:17" ht="15" thickBot="1" x14ac:dyDescent="0.35">
      <c r="A76" s="2" t="s">
        <v>32</v>
      </c>
      <c r="B76" s="2" t="s">
        <v>57</v>
      </c>
      <c r="C76" s="2" t="s">
        <v>41</v>
      </c>
      <c r="D76" s="2" t="s">
        <v>44</v>
      </c>
      <c r="E76" s="4">
        <v>1526.6</v>
      </c>
      <c r="F76" s="4">
        <v>13</v>
      </c>
      <c r="G76" s="4">
        <v>0.2</v>
      </c>
      <c r="H76" s="5">
        <v>45512</v>
      </c>
      <c r="I76" s="4">
        <v>305.32</v>
      </c>
      <c r="J76">
        <v>146.61000000000001</v>
      </c>
      <c r="L76" s="2" t="s">
        <v>75</v>
      </c>
      <c r="M76" s="2" t="s">
        <v>75</v>
      </c>
      <c r="N76" t="e">
        <f t="shared" si="1"/>
        <v>#N/A</v>
      </c>
      <c r="O76" t="str">
        <v>low</v>
      </c>
      <c r="P76" t="str">
        <v>low</v>
      </c>
      <c r="Q76" s="4">
        <v>257.42</v>
      </c>
    </row>
    <row r="77" spans="1:17" ht="15" thickBot="1" x14ac:dyDescent="0.35">
      <c r="A77" s="2" t="s">
        <v>20</v>
      </c>
      <c r="B77" s="2" t="s">
        <v>52</v>
      </c>
      <c r="C77" s="2" t="s">
        <v>41</v>
      </c>
      <c r="D77" s="2" t="s">
        <v>44</v>
      </c>
      <c r="E77" s="4">
        <v>1215.26</v>
      </c>
      <c r="F77" s="4">
        <v>5</v>
      </c>
      <c r="G77" s="4">
        <v>0.15</v>
      </c>
      <c r="H77" s="5">
        <v>45513</v>
      </c>
      <c r="I77" s="4">
        <v>258.24</v>
      </c>
      <c r="J77">
        <v>116.79</v>
      </c>
      <c r="L77" s="2" t="s">
        <v>57</v>
      </c>
      <c r="M77" s="2" t="s">
        <v>57</v>
      </c>
      <c r="N77">
        <f t="shared" si="1"/>
        <v>1101.55</v>
      </c>
      <c r="O77" t="str">
        <v>top</v>
      </c>
      <c r="P77" t="str">
        <v>midium</v>
      </c>
      <c r="Q77" s="4">
        <v>305.32</v>
      </c>
    </row>
    <row r="78" spans="1:17" ht="15" thickBot="1" x14ac:dyDescent="0.35">
      <c r="A78" s="2" t="s">
        <v>13</v>
      </c>
      <c r="B78" s="2" t="s">
        <v>66</v>
      </c>
      <c r="C78" s="2" t="s">
        <v>55</v>
      </c>
      <c r="D78" s="2" t="s">
        <v>46</v>
      </c>
      <c r="E78" s="4">
        <v>1261.3399999999999</v>
      </c>
      <c r="F78" s="4">
        <v>3</v>
      </c>
      <c r="G78" s="4">
        <v>0</v>
      </c>
      <c r="H78" s="5">
        <v>45519</v>
      </c>
      <c r="I78" s="4">
        <v>441.47</v>
      </c>
      <c r="J78">
        <v>250.79</v>
      </c>
      <c r="L78" s="2" t="s">
        <v>52</v>
      </c>
      <c r="M78" s="2" t="s">
        <v>52</v>
      </c>
      <c r="N78">
        <f t="shared" si="1"/>
        <v>1261.3399999999999</v>
      </c>
      <c r="O78" t="str">
        <v>low</v>
      </c>
      <c r="P78" t="str">
        <v>low</v>
      </c>
      <c r="Q78" s="4">
        <v>258.24</v>
      </c>
    </row>
    <row r="79" spans="1:17" ht="15" thickBot="1" x14ac:dyDescent="0.35">
      <c r="A79" s="2" t="s">
        <v>12</v>
      </c>
      <c r="B79" s="2" t="s">
        <v>61</v>
      </c>
      <c r="C79" s="2" t="s">
        <v>42</v>
      </c>
      <c r="D79" s="2" t="s">
        <v>46</v>
      </c>
      <c r="E79" s="4">
        <v>518.07000000000005</v>
      </c>
      <c r="F79" s="4">
        <v>7</v>
      </c>
      <c r="G79" s="4">
        <v>0.05</v>
      </c>
      <c r="H79" s="5">
        <v>45522</v>
      </c>
      <c r="I79" s="4">
        <v>172.26</v>
      </c>
      <c r="J79">
        <v>173.4</v>
      </c>
      <c r="L79" s="2" t="s">
        <v>66</v>
      </c>
      <c r="M79" s="2" t="s">
        <v>66</v>
      </c>
      <c r="N79" t="e">
        <f t="shared" si="1"/>
        <v>#N/A</v>
      </c>
      <c r="O79" t="str">
        <v>low</v>
      </c>
      <c r="P79" t="str">
        <v>low</v>
      </c>
      <c r="Q79" s="4">
        <v>441.47</v>
      </c>
    </row>
    <row r="80" spans="1:17" ht="15" thickBot="1" x14ac:dyDescent="0.35">
      <c r="A80" s="2" t="s">
        <v>34</v>
      </c>
      <c r="B80" s="2" t="s">
        <v>52</v>
      </c>
      <c r="C80" s="2" t="s">
        <v>41</v>
      </c>
      <c r="D80" s="2" t="s">
        <v>58</v>
      </c>
      <c r="E80" s="4">
        <v>1111.3399999999999</v>
      </c>
      <c r="F80" s="4">
        <v>1</v>
      </c>
      <c r="G80" s="4">
        <v>0</v>
      </c>
      <c r="H80" s="5">
        <v>45523</v>
      </c>
      <c r="I80" s="4">
        <v>500.1</v>
      </c>
      <c r="J80">
        <v>59.61</v>
      </c>
      <c r="L80" s="2" t="s">
        <v>61</v>
      </c>
      <c r="M80" s="2" t="s">
        <v>61</v>
      </c>
      <c r="N80" t="e">
        <f t="shared" si="1"/>
        <v>#N/A</v>
      </c>
      <c r="O80" t="str">
        <v>low</v>
      </c>
      <c r="P80" t="str">
        <v>low</v>
      </c>
      <c r="Q80" s="4">
        <v>172.26</v>
      </c>
    </row>
    <row r="81" spans="1:17" ht="15" thickBot="1" x14ac:dyDescent="0.35">
      <c r="A81" s="2" t="s">
        <v>38</v>
      </c>
      <c r="B81" s="2" t="s">
        <v>53</v>
      </c>
      <c r="C81" s="2" t="s">
        <v>39</v>
      </c>
      <c r="D81" s="2" t="s">
        <v>43</v>
      </c>
      <c r="E81" s="4">
        <v>1291.47</v>
      </c>
      <c r="F81" s="4">
        <v>18</v>
      </c>
      <c r="G81" s="4">
        <v>0.1</v>
      </c>
      <c r="H81" s="5">
        <v>45526</v>
      </c>
      <c r="I81" s="4">
        <v>581.16</v>
      </c>
      <c r="J81">
        <v>290.33</v>
      </c>
      <c r="L81" s="2" t="s">
        <v>52</v>
      </c>
      <c r="M81" s="2" t="s">
        <v>52</v>
      </c>
      <c r="N81" t="e">
        <f t="shared" si="1"/>
        <v>#N/A</v>
      </c>
      <c r="O81" t="str">
        <v>low</v>
      </c>
      <c r="P81" t="str">
        <v>low</v>
      </c>
      <c r="Q81" s="4">
        <v>500.1</v>
      </c>
    </row>
    <row r="82" spans="1:17" ht="15" thickBot="1" x14ac:dyDescent="0.35">
      <c r="A82" s="2" t="s">
        <v>15</v>
      </c>
      <c r="B82" s="2" t="s">
        <v>67</v>
      </c>
      <c r="C82" s="2" t="s">
        <v>42</v>
      </c>
      <c r="D82" s="2" t="s">
        <v>45</v>
      </c>
      <c r="E82" s="4">
        <v>679.71</v>
      </c>
      <c r="F82" s="4">
        <v>19</v>
      </c>
      <c r="G82" s="4">
        <v>0</v>
      </c>
      <c r="H82" s="5">
        <v>45534</v>
      </c>
      <c r="I82" s="4">
        <v>271.88</v>
      </c>
      <c r="J82">
        <v>222.54</v>
      </c>
      <c r="L82" s="2" t="s">
        <v>53</v>
      </c>
      <c r="M82" s="2" t="s">
        <v>53</v>
      </c>
      <c r="N82" t="e">
        <f t="shared" si="1"/>
        <v>#N/A</v>
      </c>
      <c r="O82" t="str">
        <v>top</v>
      </c>
      <c r="P82" t="str">
        <v>top</v>
      </c>
      <c r="Q82" s="4">
        <v>581.16</v>
      </c>
    </row>
    <row r="83" spans="1:17" ht="15" thickBot="1" x14ac:dyDescent="0.35">
      <c r="A83" s="2" t="s">
        <v>28</v>
      </c>
      <c r="B83" s="2" t="s">
        <v>54</v>
      </c>
      <c r="C83" s="2" t="s">
        <v>39</v>
      </c>
      <c r="D83" s="2" t="s">
        <v>46</v>
      </c>
      <c r="E83" s="4">
        <v>1143.69</v>
      </c>
      <c r="F83" s="4">
        <v>17</v>
      </c>
      <c r="G83" s="4">
        <v>0</v>
      </c>
      <c r="H83" s="5">
        <v>45534</v>
      </c>
      <c r="I83" s="4">
        <v>400.29</v>
      </c>
      <c r="J83">
        <v>84.69</v>
      </c>
      <c r="L83" s="2" t="s">
        <v>67</v>
      </c>
      <c r="M83" s="2" t="s">
        <v>67</v>
      </c>
      <c r="N83">
        <f t="shared" si="1"/>
        <v>1168.8900000000001</v>
      </c>
      <c r="O83" t="str">
        <v>top</v>
      </c>
      <c r="P83" t="str">
        <v>top</v>
      </c>
      <c r="Q83" s="4">
        <v>271.88</v>
      </c>
    </row>
    <row r="84" spans="1:17" ht="15" thickBot="1" x14ac:dyDescent="0.35">
      <c r="A84" s="2" t="s">
        <v>36</v>
      </c>
      <c r="B84" s="2" t="s">
        <v>64</v>
      </c>
      <c r="C84" s="2" t="s">
        <v>55</v>
      </c>
      <c r="D84" s="2" t="s">
        <v>44</v>
      </c>
      <c r="E84" s="4">
        <v>790.08</v>
      </c>
      <c r="F84" s="4">
        <v>7</v>
      </c>
      <c r="G84" s="4">
        <v>0.1</v>
      </c>
      <c r="H84" s="5">
        <v>45536</v>
      </c>
      <c r="I84" s="4">
        <v>177.77</v>
      </c>
      <c r="J84">
        <v>130.28</v>
      </c>
      <c r="L84" s="2" t="s">
        <v>54</v>
      </c>
      <c r="M84" s="2" t="s">
        <v>54</v>
      </c>
      <c r="N84" t="e">
        <f t="shared" si="1"/>
        <v>#N/A</v>
      </c>
      <c r="O84" t="str">
        <v>top</v>
      </c>
      <c r="P84" t="str">
        <v>top</v>
      </c>
      <c r="Q84" s="4">
        <v>400.29</v>
      </c>
    </row>
    <row r="85" spans="1:17" ht="15" thickBot="1" x14ac:dyDescent="0.35">
      <c r="A85" s="2" t="s">
        <v>13</v>
      </c>
      <c r="B85" s="2" t="s">
        <v>63</v>
      </c>
      <c r="C85" s="2" t="s">
        <v>55</v>
      </c>
      <c r="D85" s="2" t="s">
        <v>45</v>
      </c>
      <c r="E85" s="4">
        <v>1070.68</v>
      </c>
      <c r="F85" s="4">
        <v>7</v>
      </c>
      <c r="G85" s="4">
        <v>0.05</v>
      </c>
      <c r="H85" s="5">
        <v>45536</v>
      </c>
      <c r="I85" s="4">
        <v>406.86</v>
      </c>
      <c r="J85">
        <v>47.58</v>
      </c>
      <c r="L85" s="2" t="s">
        <v>64</v>
      </c>
      <c r="M85" s="2" t="s">
        <v>64</v>
      </c>
      <c r="N85">
        <f t="shared" si="1"/>
        <v>1443.98</v>
      </c>
      <c r="O85" t="str">
        <v>low</v>
      </c>
      <c r="P85" t="str">
        <v>low</v>
      </c>
      <c r="Q85" s="4">
        <v>177.77</v>
      </c>
    </row>
    <row r="86" spans="1:17" ht="15" thickBot="1" x14ac:dyDescent="0.35">
      <c r="A86" s="2" t="s">
        <v>23</v>
      </c>
      <c r="B86" s="2" t="s">
        <v>56</v>
      </c>
      <c r="C86" s="2" t="s">
        <v>41</v>
      </c>
      <c r="D86" s="2" t="s">
        <v>43</v>
      </c>
      <c r="E86" s="4">
        <v>1168.8900000000001</v>
      </c>
      <c r="F86" s="4">
        <v>4</v>
      </c>
      <c r="G86" s="4">
        <v>0.1</v>
      </c>
      <c r="H86" s="5">
        <v>45544</v>
      </c>
      <c r="I86" s="4">
        <v>526</v>
      </c>
      <c r="J86">
        <v>41.8</v>
      </c>
      <c r="L86" s="2" t="s">
        <v>63</v>
      </c>
      <c r="M86" s="2" t="s">
        <v>63</v>
      </c>
      <c r="N86" t="e">
        <f t="shared" si="1"/>
        <v>#N/A</v>
      </c>
      <c r="O86" t="str">
        <v>low</v>
      </c>
      <c r="P86" t="str">
        <v>low</v>
      </c>
      <c r="Q86" s="4">
        <v>406.86</v>
      </c>
    </row>
    <row r="87" spans="1:17" ht="15" thickBot="1" x14ac:dyDescent="0.35">
      <c r="A87" s="2" t="s">
        <v>11</v>
      </c>
      <c r="B87" s="2" t="s">
        <v>47</v>
      </c>
      <c r="C87" s="2" t="s">
        <v>40</v>
      </c>
      <c r="D87" s="2" t="s">
        <v>44</v>
      </c>
      <c r="E87" s="4">
        <v>1335.87</v>
      </c>
      <c r="F87" s="4">
        <v>17</v>
      </c>
      <c r="G87" s="4">
        <v>0</v>
      </c>
      <c r="H87" s="5">
        <v>45544</v>
      </c>
      <c r="I87" s="4">
        <v>333.97</v>
      </c>
      <c r="J87">
        <v>457.2</v>
      </c>
      <c r="L87" s="2" t="s">
        <v>56</v>
      </c>
      <c r="M87" s="2" t="s">
        <v>56</v>
      </c>
      <c r="N87" t="e">
        <f t="shared" si="1"/>
        <v>#N/A</v>
      </c>
      <c r="O87" t="str">
        <v>low</v>
      </c>
      <c r="P87" t="str">
        <v>low</v>
      </c>
      <c r="Q87" s="4">
        <v>526</v>
      </c>
    </row>
    <row r="88" spans="1:17" ht="15" thickBot="1" x14ac:dyDescent="0.35">
      <c r="A88" s="2" t="s">
        <v>31</v>
      </c>
      <c r="B88" s="2" t="s">
        <v>67</v>
      </c>
      <c r="C88" s="2" t="s">
        <v>39</v>
      </c>
      <c r="D88" s="2" t="s">
        <v>46</v>
      </c>
      <c r="E88" s="4">
        <v>873.7</v>
      </c>
      <c r="F88" s="4">
        <v>9</v>
      </c>
      <c r="G88" s="4">
        <v>0</v>
      </c>
      <c r="H88" s="5">
        <v>45546</v>
      </c>
      <c r="I88" s="4">
        <v>305.8</v>
      </c>
      <c r="J88">
        <v>135.07</v>
      </c>
      <c r="L88" s="2" t="s">
        <v>47</v>
      </c>
      <c r="M88" s="2" t="s">
        <v>47</v>
      </c>
      <c r="N88" t="e">
        <f t="shared" si="1"/>
        <v>#N/A</v>
      </c>
      <c r="O88" t="str">
        <v>top</v>
      </c>
      <c r="P88" t="str">
        <v>top</v>
      </c>
      <c r="Q88" s="4">
        <v>333.97</v>
      </c>
    </row>
    <row r="89" spans="1:17" ht="15" thickBot="1" x14ac:dyDescent="0.35">
      <c r="A89" s="2" t="s">
        <v>12</v>
      </c>
      <c r="B89" s="2" t="s">
        <v>72</v>
      </c>
      <c r="C89" s="2" t="s">
        <v>41</v>
      </c>
      <c r="D89" s="2" t="s">
        <v>58</v>
      </c>
      <c r="E89" s="4">
        <v>1443.98</v>
      </c>
      <c r="F89" s="4">
        <v>19</v>
      </c>
      <c r="G89" s="4">
        <v>0</v>
      </c>
      <c r="H89" s="5">
        <v>45547</v>
      </c>
      <c r="I89" s="4">
        <v>649.79</v>
      </c>
      <c r="J89">
        <v>125.32</v>
      </c>
      <c r="L89" s="2" t="s">
        <v>67</v>
      </c>
      <c r="M89" s="2" t="s">
        <v>67</v>
      </c>
      <c r="N89" t="e">
        <f t="shared" si="1"/>
        <v>#N/A</v>
      </c>
      <c r="O89" t="str">
        <v>low</v>
      </c>
      <c r="P89" t="str">
        <v>low</v>
      </c>
      <c r="Q89" s="4">
        <v>305.8</v>
      </c>
    </row>
    <row r="90" spans="1:17" ht="15" thickBot="1" x14ac:dyDescent="0.35">
      <c r="A90" s="2" t="s">
        <v>31</v>
      </c>
      <c r="B90" s="2" t="s">
        <v>50</v>
      </c>
      <c r="C90" s="2" t="s">
        <v>39</v>
      </c>
      <c r="D90" s="2" t="s">
        <v>58</v>
      </c>
      <c r="E90" s="4">
        <v>1154.33</v>
      </c>
      <c r="F90" s="4">
        <v>11</v>
      </c>
      <c r="G90" s="4">
        <v>0.15</v>
      </c>
      <c r="H90" s="5">
        <v>45549</v>
      </c>
      <c r="I90" s="4">
        <v>441.53</v>
      </c>
      <c r="J90">
        <v>67.319999999999993</v>
      </c>
      <c r="L90" s="2" t="s">
        <v>72</v>
      </c>
      <c r="M90" s="2" t="s">
        <v>72</v>
      </c>
      <c r="N90">
        <f t="shared" si="1"/>
        <v>1172.97</v>
      </c>
      <c r="O90" t="str">
        <v>top</v>
      </c>
      <c r="P90" t="str">
        <v>top</v>
      </c>
      <c r="Q90" s="4">
        <v>649.79</v>
      </c>
    </row>
    <row r="91" spans="1:17" ht="15" thickBot="1" x14ac:dyDescent="0.35">
      <c r="A91" s="2" t="s">
        <v>30</v>
      </c>
      <c r="B91" s="2" t="s">
        <v>64</v>
      </c>
      <c r="C91" s="2" t="s">
        <v>40</v>
      </c>
      <c r="D91" s="2" t="s">
        <v>45</v>
      </c>
      <c r="E91" s="4">
        <v>1264.49</v>
      </c>
      <c r="F91" s="4">
        <v>16</v>
      </c>
      <c r="G91" s="4">
        <v>0.05</v>
      </c>
      <c r="H91" s="5">
        <v>45549</v>
      </c>
      <c r="I91" s="4">
        <v>480.51</v>
      </c>
      <c r="J91">
        <v>101.1</v>
      </c>
      <c r="L91" s="2" t="s">
        <v>50</v>
      </c>
      <c r="M91" s="2" t="s">
        <v>50</v>
      </c>
      <c r="N91">
        <f t="shared" si="1"/>
        <v>727.73</v>
      </c>
      <c r="O91" t="str">
        <v>top</v>
      </c>
      <c r="P91" t="str">
        <v>midium</v>
      </c>
      <c r="Q91" s="4">
        <v>441.53</v>
      </c>
    </row>
    <row r="92" spans="1:17" ht="15" thickBot="1" x14ac:dyDescent="0.35">
      <c r="A92" s="2" t="s">
        <v>15</v>
      </c>
      <c r="B92" s="2" t="s">
        <v>73</v>
      </c>
      <c r="C92" s="2" t="s">
        <v>41</v>
      </c>
      <c r="D92" s="2" t="s">
        <v>46</v>
      </c>
      <c r="E92" s="4">
        <v>1101.55</v>
      </c>
      <c r="F92" s="4">
        <v>4</v>
      </c>
      <c r="G92" s="4">
        <v>0.1</v>
      </c>
      <c r="H92" s="5">
        <v>45551</v>
      </c>
      <c r="I92" s="4">
        <v>346.99</v>
      </c>
      <c r="J92">
        <v>40.729999999999997</v>
      </c>
      <c r="L92" s="2" t="s">
        <v>64</v>
      </c>
      <c r="M92" s="2" t="s">
        <v>64</v>
      </c>
      <c r="N92" t="e">
        <f t="shared" si="1"/>
        <v>#N/A</v>
      </c>
      <c r="O92" t="str">
        <v>top</v>
      </c>
      <c r="P92" t="str">
        <v>top</v>
      </c>
      <c r="Q92" s="4">
        <v>480.51</v>
      </c>
    </row>
    <row r="93" spans="1:17" ht="15" thickBot="1" x14ac:dyDescent="0.35">
      <c r="A93" s="2" t="s">
        <v>21</v>
      </c>
      <c r="B93" s="2" t="s">
        <v>48</v>
      </c>
      <c r="C93" s="2" t="s">
        <v>40</v>
      </c>
      <c r="D93" s="2" t="s">
        <v>46</v>
      </c>
      <c r="E93" s="4">
        <v>727.73</v>
      </c>
      <c r="F93" s="4">
        <v>1</v>
      </c>
      <c r="G93" s="4">
        <v>0.1</v>
      </c>
      <c r="H93" s="5">
        <v>45552</v>
      </c>
      <c r="I93" s="4">
        <v>229.23</v>
      </c>
      <c r="J93">
        <v>126.16</v>
      </c>
      <c r="L93" s="2" t="s">
        <v>73</v>
      </c>
      <c r="M93" s="2" t="s">
        <v>73</v>
      </c>
      <c r="N93" t="e">
        <f t="shared" si="1"/>
        <v>#N/A</v>
      </c>
      <c r="O93" t="str">
        <v>low</v>
      </c>
      <c r="P93" t="str">
        <v>low</v>
      </c>
      <c r="Q93" s="4">
        <v>346.99</v>
      </c>
    </row>
    <row r="94" spans="1:17" ht="15" thickBot="1" x14ac:dyDescent="0.35">
      <c r="A94" s="2" t="s">
        <v>35</v>
      </c>
      <c r="B94" s="2" t="s">
        <v>57</v>
      </c>
      <c r="C94" s="2" t="s">
        <v>39</v>
      </c>
      <c r="D94" s="2" t="s">
        <v>58</v>
      </c>
      <c r="E94" s="4">
        <v>875.41</v>
      </c>
      <c r="F94" s="4">
        <v>13</v>
      </c>
      <c r="G94" s="4">
        <v>0.15</v>
      </c>
      <c r="H94" s="5">
        <v>45552</v>
      </c>
      <c r="I94" s="4">
        <v>334.84</v>
      </c>
      <c r="J94">
        <v>112.83</v>
      </c>
      <c r="L94" s="2" t="s">
        <v>48</v>
      </c>
      <c r="M94" s="2" t="s">
        <v>48</v>
      </c>
      <c r="N94" t="e">
        <f t="shared" si="1"/>
        <v>#N/A</v>
      </c>
      <c r="O94" t="str">
        <v>low</v>
      </c>
      <c r="P94" t="str">
        <v>low</v>
      </c>
      <c r="Q94" s="4">
        <v>229.23</v>
      </c>
    </row>
    <row r="95" spans="1:17" ht="15" thickBot="1" x14ac:dyDescent="0.35">
      <c r="A95" s="2" t="s">
        <v>11</v>
      </c>
      <c r="B95" s="2" t="s">
        <v>50</v>
      </c>
      <c r="C95" s="2" t="s">
        <v>41</v>
      </c>
      <c r="D95" s="2" t="s">
        <v>44</v>
      </c>
      <c r="E95" s="4">
        <v>1158.94</v>
      </c>
      <c r="F95" s="4">
        <v>19</v>
      </c>
      <c r="G95" s="4">
        <v>0.2</v>
      </c>
      <c r="H95" s="5">
        <v>45553</v>
      </c>
      <c r="I95" s="4">
        <v>231.79</v>
      </c>
      <c r="J95">
        <v>247.21</v>
      </c>
      <c r="L95" s="2" t="s">
        <v>57</v>
      </c>
      <c r="M95" s="2" t="s">
        <v>57</v>
      </c>
      <c r="N95" t="e">
        <f t="shared" si="1"/>
        <v>#N/A</v>
      </c>
      <c r="O95" t="str">
        <v>top</v>
      </c>
      <c r="P95" t="str">
        <v>midium</v>
      </c>
      <c r="Q95" s="4">
        <v>334.84</v>
      </c>
    </row>
    <row r="96" spans="1:17" ht="15" thickBot="1" x14ac:dyDescent="0.35">
      <c r="A96" s="2" t="s">
        <v>26</v>
      </c>
      <c r="B96" s="2" t="s">
        <v>62</v>
      </c>
      <c r="C96" s="2" t="s">
        <v>40</v>
      </c>
      <c r="D96" s="2" t="s">
        <v>45</v>
      </c>
      <c r="E96" s="4">
        <v>966.3</v>
      </c>
      <c r="F96" s="4">
        <v>2</v>
      </c>
      <c r="G96" s="4">
        <v>0.15</v>
      </c>
      <c r="H96" s="5">
        <v>45557</v>
      </c>
      <c r="I96" s="4">
        <v>328.54</v>
      </c>
      <c r="J96">
        <v>128.80000000000001</v>
      </c>
      <c r="L96" s="2" t="s">
        <v>50</v>
      </c>
      <c r="M96" s="2" t="s">
        <v>50</v>
      </c>
      <c r="N96">
        <f t="shared" si="1"/>
        <v>917.48</v>
      </c>
      <c r="O96" t="str">
        <v>top</v>
      </c>
      <c r="P96" t="str">
        <v>top</v>
      </c>
      <c r="Q96" s="4">
        <v>231.79</v>
      </c>
    </row>
    <row r="97" spans="1:17" ht="15" thickBot="1" x14ac:dyDescent="0.35">
      <c r="A97" s="2" t="s">
        <v>28</v>
      </c>
      <c r="B97" s="2" t="s">
        <v>49</v>
      </c>
      <c r="C97" s="2" t="s">
        <v>40</v>
      </c>
      <c r="D97" s="2" t="s">
        <v>45</v>
      </c>
      <c r="E97" s="4">
        <v>917.48</v>
      </c>
      <c r="F97" s="4">
        <v>6</v>
      </c>
      <c r="G97" s="4">
        <v>0</v>
      </c>
      <c r="H97" s="5">
        <v>45558</v>
      </c>
      <c r="I97" s="4">
        <v>366.99</v>
      </c>
      <c r="J97">
        <v>219.07</v>
      </c>
      <c r="L97" s="2" t="s">
        <v>62</v>
      </c>
      <c r="M97" s="2" t="s">
        <v>62</v>
      </c>
      <c r="N97" t="e">
        <f t="shared" si="1"/>
        <v>#N/A</v>
      </c>
      <c r="O97" t="str">
        <v>low</v>
      </c>
      <c r="P97" t="str">
        <v>low</v>
      </c>
      <c r="Q97" s="4">
        <v>328.54</v>
      </c>
    </row>
    <row r="98" spans="1:17" ht="15" thickBot="1" x14ac:dyDescent="0.35">
      <c r="A98" s="2" t="s">
        <v>37</v>
      </c>
      <c r="B98" s="2" t="s">
        <v>70</v>
      </c>
      <c r="C98" s="2" t="s">
        <v>41</v>
      </c>
      <c r="D98" s="2" t="s">
        <v>46</v>
      </c>
      <c r="E98" s="4">
        <v>1172.97</v>
      </c>
      <c r="F98" s="4">
        <v>7</v>
      </c>
      <c r="G98" s="4">
        <v>0.15</v>
      </c>
      <c r="H98" s="5">
        <v>45559</v>
      </c>
      <c r="I98" s="4">
        <v>348.96</v>
      </c>
      <c r="J98">
        <v>113.28</v>
      </c>
      <c r="L98" s="2" t="s">
        <v>49</v>
      </c>
      <c r="M98" s="2" t="s">
        <v>49</v>
      </c>
      <c r="N98" t="e">
        <f t="shared" si="1"/>
        <v>#N/A</v>
      </c>
      <c r="O98" t="str">
        <v>low</v>
      </c>
      <c r="P98" t="str">
        <v>low</v>
      </c>
      <c r="Q98" s="4">
        <v>366.99</v>
      </c>
    </row>
    <row r="99" spans="1:17" ht="15" thickBot="1" x14ac:dyDescent="0.35">
      <c r="A99" s="2" t="s">
        <v>29</v>
      </c>
      <c r="B99" s="2" t="s">
        <v>50</v>
      </c>
      <c r="C99" s="2" t="s">
        <v>42</v>
      </c>
      <c r="D99" s="2" t="s">
        <v>43</v>
      </c>
      <c r="E99" s="4">
        <v>1205.82</v>
      </c>
      <c r="F99" s="4">
        <v>11</v>
      </c>
      <c r="G99" s="4">
        <v>0.1</v>
      </c>
      <c r="H99" s="5">
        <v>45559</v>
      </c>
      <c r="I99" s="4">
        <v>542.62</v>
      </c>
      <c r="J99">
        <v>258.91000000000003</v>
      </c>
      <c r="L99" s="2" t="s">
        <v>70</v>
      </c>
      <c r="M99" s="2" t="s">
        <v>70</v>
      </c>
      <c r="N99" t="e">
        <f t="shared" si="1"/>
        <v>#N/A</v>
      </c>
      <c r="O99" t="str">
        <v>low</v>
      </c>
      <c r="P99" t="str">
        <v>low</v>
      </c>
      <c r="Q99" s="4">
        <v>348.96</v>
      </c>
    </row>
    <row r="100" spans="1:17" ht="15" thickBot="1" x14ac:dyDescent="0.35">
      <c r="A100" s="2" t="s">
        <v>25</v>
      </c>
      <c r="B100" s="2" t="s">
        <v>72</v>
      </c>
      <c r="C100" s="2" t="s">
        <v>41</v>
      </c>
      <c r="D100" s="2" t="s">
        <v>58</v>
      </c>
      <c r="E100" s="4">
        <v>826.93</v>
      </c>
      <c r="F100" s="4">
        <v>10</v>
      </c>
      <c r="G100" s="4">
        <v>0.2</v>
      </c>
      <c r="H100" s="5">
        <v>45564</v>
      </c>
      <c r="I100" s="4">
        <v>297.69</v>
      </c>
      <c r="J100">
        <v>163.28</v>
      </c>
      <c r="L100" s="2" t="s">
        <v>50</v>
      </c>
      <c r="M100" s="2" t="s">
        <v>50</v>
      </c>
      <c r="N100">
        <f t="shared" si="1"/>
        <v>1205.82</v>
      </c>
      <c r="O100" t="str">
        <v>top</v>
      </c>
      <c r="P100" t="str">
        <v>midium</v>
      </c>
      <c r="Q100" s="4">
        <v>542.62</v>
      </c>
    </row>
    <row r="101" spans="1:17" ht="15" thickBot="1" x14ac:dyDescent="0.35">
      <c r="A101" s="2" t="s">
        <v>11</v>
      </c>
      <c r="B101" s="2" t="s">
        <v>50</v>
      </c>
      <c r="C101" s="2" t="s">
        <v>55</v>
      </c>
      <c r="D101" s="2" t="s">
        <v>43</v>
      </c>
      <c r="E101" s="4">
        <v>902.19</v>
      </c>
      <c r="F101" s="4">
        <v>12</v>
      </c>
      <c r="G101" s="4">
        <v>0</v>
      </c>
      <c r="H101" s="5">
        <v>45564</v>
      </c>
      <c r="I101" s="4">
        <v>451.1</v>
      </c>
      <c r="J101">
        <v>221.11</v>
      </c>
      <c r="L101" s="2" t="s">
        <v>72</v>
      </c>
      <c r="M101" s="2" t="s">
        <v>72</v>
      </c>
      <c r="N101" t="e">
        <f t="shared" si="1"/>
        <v>#N/A</v>
      </c>
      <c r="O101" t="str">
        <v>low</v>
      </c>
      <c r="P101" t="str">
        <v>low</v>
      </c>
      <c r="Q101" s="4">
        <v>297.69</v>
      </c>
    </row>
    <row r="102" spans="1:17" ht="15" thickBot="1" x14ac:dyDescent="0.35">
      <c r="L102" s="2" t="s">
        <v>50</v>
      </c>
      <c r="M102" s="2" t="s">
        <v>50</v>
      </c>
      <c r="N102" t="e">
        <f t="shared" si="1"/>
        <v>#N/A</v>
      </c>
      <c r="O102" t="str">
        <v>top</v>
      </c>
      <c r="P102" t="str">
        <v>midium</v>
      </c>
      <c r="Q102" s="4">
        <v>451.1</v>
      </c>
    </row>
  </sheetData>
  <conditionalFormatting sqref="Q3:Q102">
    <cfRule type="top10" dxfId="0" priority="1" rank="20"/>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dashboard</vt:lpstr>
      <vt:lpstr>Sheet5</vt:lpstr>
      <vt:lpstr>Sheet2</vt:lpstr>
      <vt:lpstr>datasat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chauhandhruv0510@hotmail.com</cp:lastModifiedBy>
  <dcterms:created xsi:type="dcterms:W3CDTF">2025-11-10T05:33:45Z</dcterms:created>
  <dcterms:modified xsi:type="dcterms:W3CDTF">2025-11-10T07:50:18Z</dcterms:modified>
</cp:coreProperties>
</file>